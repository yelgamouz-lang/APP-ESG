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Balance" sheetId="2" state="visible" r:id="rId4"/>
    <sheet name="CPC" sheetId="3" state="visible" r:id="rId5"/>
    <sheet name="ESG" sheetId="4" state="visible" r:id="rId6"/>
    <sheet name="Reporting" sheetId="5" state="visible" r:id="rId7"/>
    <sheet name="DASHBOARD" sheetId="6" state="visible" r:id="rId8"/>
    <sheet name="Lectur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7" authorId="0">
      <text>
        <r>
          <rPr>
            <sz val="10"/>
            <rFont val="Arial"/>
            <family val="2"/>
          </rPr>
          <t xml:space="preserve">Pour chaque mois : soldes des classes 1 à 5 + cumul depuis janvier des classes 6 et 7. Un résultat de 0 confirme que la balance est équilibrée.</t>
        </r>
      </text>
    </comment>
    <comment ref="B81" authorId="0">
      <text>
        <r>
          <rPr>
            <sz val="10"/>
            <rFont val="Arial"/>
            <family val="2"/>
          </rPr>
          <t xml:space="preserve">Donnée fictive saisie, utilisée pour le taux de croissance du résultat net.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5" authorId="0">
      <text>
        <r>
          <rPr>
            <sz val="10"/>
            <rFont val="Arial"/>
            <family val="2"/>
          </rPr>
          <t xml:space="preserve">Hypothèse : charges variables = comptes 6121, 6122, 6124, 6125, 6126 et 6142 (matières, consommables, variation de stocks matières, énergie, sous-traitance, transports).</t>
        </r>
      </text>
    </comment>
    <comment ref="A39" authorId="0">
      <text>
        <r>
          <rPr>
            <sz val="10"/>
            <rFont val="Arial"/>
            <family val="2"/>
          </rPr>
          <t xml:space="preserve">Intérêts du mois × 12 / encours de fin de mois. Année : intérêts / encours moyen.</t>
        </r>
      </text>
    </comment>
    <comment ref="A47" authorId="0">
      <text>
        <r>
          <rPr>
            <sz val="10"/>
            <rFont val="Arial"/>
            <family val="2"/>
          </rPr>
          <t xml:space="preserve">Ventes export exonérées de TVA : DSO calculé sur le CA HT (mois ×30, année ×360).</t>
        </r>
      </text>
    </comment>
    <comment ref="A49" authorId="0">
      <text>
        <r>
          <rPr>
            <sz val="10"/>
            <rFont val="Arial"/>
            <family val="2"/>
          </rPr>
          <t xml:space="preserve">Stocks exprimés en jours de chiffre d'affaires (mois : ×30, année : ×360).</t>
        </r>
      </text>
    </comment>
    <comment ref="C5" authorId="0">
      <text>
        <r>
          <rPr>
            <sz val="10"/>
            <rFont val="Arial"/>
            <family val="2"/>
          </rPr>
          <t xml:space="preserve">Paramètre modifiable (hypothèse de lecture).</t>
        </r>
      </text>
    </comment>
    <comment ref="C6" authorId="0">
      <text>
        <r>
          <rPr>
            <sz val="10"/>
            <rFont val="Arial"/>
            <family val="2"/>
          </rPr>
          <t xml:space="preserve">Paramètre modifiable (hypothèse de lecture).</t>
        </r>
      </text>
    </comment>
    <comment ref="C7" authorId="0">
      <text>
        <r>
          <rPr>
            <sz val="10"/>
            <rFont val="Arial"/>
            <family val="2"/>
          </rPr>
          <t xml:space="preserve">Paramètre modifiable (hypothèse de lecture).</t>
        </r>
      </text>
    </comment>
  </commentList>
</comments>
</file>

<file path=xl/sharedStrings.xml><?xml version="1.0" encoding="utf-8"?>
<sst xmlns="http://schemas.openxmlformats.org/spreadsheetml/2006/main" count="730" uniqueCount="525">
  <si>
    <t xml:space="preserve">Plan Financier et Stratégique d'AéroTech Maroc</t>
  </si>
  <si>
    <t xml:space="preserve">Analyse financière CGNC · Reporting · Tableau de bord — Exercice 2023</t>
  </si>
  <si>
    <t xml:space="preserve">IDENTIFICATION</t>
  </si>
  <si>
    <t xml:space="preserve">Nom de l'entreprise</t>
  </si>
  <si>
    <t xml:space="preserve">AéroTech Maroc</t>
  </si>
  <si>
    <t xml:space="preserve">Secteur</t>
  </si>
  <si>
    <t xml:space="preserve">Aéronautique</t>
  </si>
  <si>
    <t xml:space="preserve">Date</t>
  </si>
  <si>
    <t xml:space="preserve">31 décembre 2023</t>
  </si>
  <si>
    <t xml:space="preserve">Département</t>
  </si>
  <si>
    <t xml:space="preserve">Finance</t>
  </si>
  <si>
    <t xml:space="preserve">Responsable</t>
  </si>
  <si>
    <t xml:space="preserve">Mme Amal Bennani</t>
  </si>
  <si>
    <t xml:space="preserve">SOMMAIRE</t>
  </si>
  <si>
    <t xml:space="preserve">→ Balance</t>
  </si>
  <si>
    <t xml:space="preserve">Balance comptable CGNC (classes 1 à 7) sur 12 mois — seul onglet de saisie</t>
  </si>
  <si>
    <t xml:space="preserve">→ CPC</t>
  </si>
  <si>
    <t xml:space="preserve">Compte de produits et charges, modèle normal CGNC, calculé automatiquement</t>
  </si>
  <si>
    <t xml:space="preserve">→ ESG</t>
  </si>
  <si>
    <t xml:space="preserve">État des soldes de gestion : TFR (marge, VA, EBE…) et CAF</t>
  </si>
  <si>
    <t xml:space="preserve">→ Reporting</t>
  </si>
  <si>
    <t xml:space="preserve">Élasticité CA/REX codée par couleur et KPI clés, avec sélecteur de mois</t>
  </si>
  <si>
    <t xml:space="preserve">→ DASHBOARD</t>
  </si>
  <si>
    <t xml:space="preserve">Cartes et graphiques de tendance interactifs (grenat et doré)</t>
  </si>
  <si>
    <t xml:space="preserve">→ Lecture</t>
  </si>
  <si>
    <t xml:space="preserve">Explications vulgarisées de chaque indicateur</t>
  </si>
  <si>
    <t xml:space="preserve">MODE D'EMPLOI</t>
  </si>
  <si>
    <t xml:space="preserve">1. Saisissez ou collez vos montants uniquement dans l'onglet « Balance » (chiffres en bleu).</t>
  </si>
  <si>
    <t xml:space="preserve">2. Classes 1 à 5 : solde de fin de mois. Classes 6 et 7 : mouvement du mois (pas le cumul).</t>
  </si>
  <si>
    <t xml:space="preserve">3. Vérifiez que la ligne « Contrôle d'équilibre » de la Balance affiche 0 pour chaque mois.</t>
  </si>
  <si>
    <t xml:space="preserve">4. Le CPC, l'ESG, le Reporting et le Dashboard se recalculent seuls : aucune formule à toucher.</t>
  </si>
  <si>
    <t xml:space="preserve">5. Dans le Reporting (C4) et le Dashboard (D4), choisissez un mois dans la liste pour l'analyser.</t>
  </si>
  <si>
    <t xml:space="preserve">6. Pour comprendre un indicateur ou une couleur, consultez l'onglet « Lecture ».</t>
  </si>
  <si>
    <t xml:space="preserve">7. Pour ajouter un compte : insérez une ligne à l'intérieur du bloc de la Balance (avant la dernière ligne de compte).</t>
  </si>
  <si>
    <t xml:space="preserve">CONTRÔLES DE COHÉRENCE (automatiques)</t>
  </si>
  <si>
    <t xml:space="preserve">Balance équilibrée (12 mois)</t>
  </si>
  <si>
    <t xml:space="preserve">CPC : résultat net (2 méthodes)</t>
  </si>
  <si>
    <t xml:space="preserve">ESG = CPC (résultat net)</t>
  </si>
  <si>
    <t xml:space="preserve">LÉGENDE</t>
  </si>
  <si>
    <t xml:space="preserve">1 234 567</t>
  </si>
  <si>
    <t xml:space="preserve">Chiffre en bleu : donnée saisie (modifiable)</t>
  </si>
  <si>
    <t xml:space="preserve">Chiffre en noir : formule (ne pas modifier)</t>
  </si>
  <si>
    <t xml:space="preserve">Décembre</t>
  </si>
  <si>
    <t xml:space="preserve">Case dorée : sélecteur de mois (liste déroulante)</t>
  </si>
  <si>
    <t xml:space="preserve">Note : Toutes les données chiffrées générées dans ce fichier sont fictives.</t>
  </si>
  <si>
    <t xml:space="preserve">BALANCE COMPTABLE CGNC — AéroTech Maroc — Exercice 2023</t>
  </si>
  <si>
    <t xml:space="preserve">⌂ Accueil</t>
  </si>
  <si>
    <t xml:space="preserve">Montants en MAD · Classes 1 à 5 : soldes de fin de mois · Classes 6 et 7 : mouvements du mois · Données fictives</t>
  </si>
  <si>
    <t xml:space="preserve">Légende :</t>
  </si>
  <si>
    <t xml:space="preserve">Chiffres en bleu = données saisies (modifiables). Tous les autres onglets se recalculent automatiquement.</t>
  </si>
  <si>
    <t xml:space="preserve">Compte</t>
  </si>
  <si>
    <t xml:space="preserve">Intitulé</t>
  </si>
  <si>
    <t xml:space="preserve">Classe</t>
  </si>
  <si>
    <t xml:space="preserve">Sens</t>
  </si>
  <si>
    <t xml:space="preserve">Ouverture 01/01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</si>
  <si>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</si>
  <si>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</si>
  <si>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</si>
  <si>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</si>
  <si>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</si>
  <si>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</si>
  <si>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</si>
  <si>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</si>
  <si>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</si>
  <si>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</si>
  <si>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</si>
  <si>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Total / Clôture</t>
  </si>
  <si>
    <t xml:space="preserve">CLASSE 1 — COMPTES DE FINANCEMENT PERMANENT</t>
  </si>
  <si>
    <t xml:space="preserve">1111</t>
  </si>
  <si>
    <t xml:space="preserve">Capital social</t>
  </si>
  <si>
    <t xml:space="preserve">C</t>
  </si>
  <si>
    <t xml:space="preserve">1140</t>
  </si>
  <si>
    <t xml:space="preserve">Réserve légale</t>
  </si>
  <si>
    <t xml:space="preserve">1161</t>
  </si>
  <si>
    <t xml:space="preserve">Report à nouveau (solde créditeur)</t>
  </si>
  <si>
    <t xml:space="preserve">1481</t>
  </si>
  <si>
    <t xml:space="preserve">Emprunts auprès des établissements de crédit</t>
  </si>
  <si>
    <t xml:space="preserve">CLASSE 2 — COMPTES D'ACTIF IMMOBILISÉ</t>
  </si>
  <si>
    <t xml:space="preserve">2321</t>
  </si>
  <si>
    <t xml:space="preserve">Bâtiments</t>
  </si>
  <si>
    <t xml:space="preserve">D</t>
  </si>
  <si>
    <t xml:space="preserve">2332</t>
  </si>
  <si>
    <t xml:space="preserve">Matériel et outillage</t>
  </si>
  <si>
    <t xml:space="preserve">2340</t>
  </si>
  <si>
    <t xml:space="preserve">Matériel de transport</t>
  </si>
  <si>
    <t xml:space="preserve">2355</t>
  </si>
  <si>
    <t xml:space="preserve">Matériel informatique</t>
  </si>
  <si>
    <t xml:space="preserve">2832</t>
  </si>
  <si>
    <t xml:space="preserve">Amortissements des constructions</t>
  </si>
  <si>
    <t xml:space="preserve">2833</t>
  </si>
  <si>
    <t xml:space="preserve">Amortissements des installations techniques, matériel et outillage</t>
  </si>
  <si>
    <t xml:space="preserve">2834</t>
  </si>
  <si>
    <t xml:space="preserve">Amortissements du matériel de transport</t>
  </si>
  <si>
    <t xml:space="preserve">2835</t>
  </si>
  <si>
    <t xml:space="preserve">Amortissements du mobilier, matériel de bureau et aménagements divers</t>
  </si>
  <si>
    <t xml:space="preserve">CLASSE 3 — COMPTES D'ACTIF CIRCULANT</t>
  </si>
  <si>
    <t xml:space="preserve">3121</t>
  </si>
  <si>
    <t xml:space="preserve">Matières premières (titane, aluminium, composites)</t>
  </si>
  <si>
    <t xml:space="preserve">3131</t>
  </si>
  <si>
    <t xml:space="preserve">Biens en cours</t>
  </si>
  <si>
    <t xml:space="preserve">3151</t>
  </si>
  <si>
    <t xml:space="preserve">Produits finis</t>
  </si>
  <si>
    <t xml:space="preserve">3421</t>
  </si>
  <si>
    <t xml:space="preserve">Clients</t>
  </si>
  <si>
    <t xml:space="preserve">3455</t>
  </si>
  <si>
    <t xml:space="preserve">État — TVA récupérable</t>
  </si>
  <si>
    <t xml:space="preserve">3942</t>
  </si>
  <si>
    <t xml:space="preserve">Provisions pour dépréciation des clients et comptes rattachés</t>
  </si>
  <si>
    <t xml:space="preserve">CLASSE 4 — COMPTES DE PASSIF CIRCULANT</t>
  </si>
  <si>
    <t xml:space="preserve">4411</t>
  </si>
  <si>
    <t xml:space="preserve">Fournisseurs</t>
  </si>
  <si>
    <t xml:space="preserve">4432</t>
  </si>
  <si>
    <t xml:space="preserve">Rémunérations dues au personnel</t>
  </si>
  <si>
    <t xml:space="preserve">4441</t>
  </si>
  <si>
    <t xml:space="preserve">Caisse nationale de sécurité sociale</t>
  </si>
  <si>
    <t xml:space="preserve">4453</t>
  </si>
  <si>
    <t xml:space="preserve">État — impôts sur les résultats</t>
  </si>
  <si>
    <t xml:space="preserve">4455</t>
  </si>
  <si>
    <t xml:space="preserve">État — TVA facturée</t>
  </si>
  <si>
    <t xml:space="preserve">CLASSE 5 — COMPTES DE TRÉSORERIE</t>
  </si>
  <si>
    <t xml:space="preserve">5141</t>
  </si>
  <si>
    <t xml:space="preserve">Banques (soldes débiteurs)</t>
  </si>
  <si>
    <t xml:space="preserve">5161</t>
  </si>
  <si>
    <t xml:space="preserve">Caisse</t>
  </si>
  <si>
    <t xml:space="preserve">CLASSE 6 — COMPTES DE CHARGES (mouvements du mois)</t>
  </si>
  <si>
    <t xml:space="preserve">6111</t>
  </si>
  <si>
    <t xml:space="preserve">Achats de marchandises</t>
  </si>
  <si>
    <t xml:space="preserve">6121</t>
  </si>
  <si>
    <t xml:space="preserve">Achats de matières premières</t>
  </si>
  <si>
    <t xml:space="preserve">6122</t>
  </si>
  <si>
    <t xml:space="preserve">Achats de matières et fournitures consommables</t>
  </si>
  <si>
    <t xml:space="preserve">6124</t>
  </si>
  <si>
    <t xml:space="preserve">Variation des stocks de matières et fournitures (±)</t>
  </si>
  <si>
    <t xml:space="preserve">6125</t>
  </si>
  <si>
    <t xml:space="preserve">Achats non stockés de matières et fournitures (énergie, eau)</t>
  </si>
  <si>
    <t xml:space="preserve">6126</t>
  </si>
  <si>
    <t xml:space="preserve">Achats de travaux, études et prestations de services (sous-traitance)</t>
  </si>
  <si>
    <t xml:space="preserve">6131</t>
  </si>
  <si>
    <t xml:space="preserve">Locations et charges locatives</t>
  </si>
  <si>
    <t xml:space="preserve">6133</t>
  </si>
  <si>
    <t xml:space="preserve">Entretien et réparations</t>
  </si>
  <si>
    <t xml:space="preserve">6134</t>
  </si>
  <si>
    <t xml:space="preserve">Primes d'assurances</t>
  </si>
  <si>
    <t xml:space="preserve">6136</t>
  </si>
  <si>
    <t xml:space="preserve">Rémunérations d'intermédiaires et honoraires</t>
  </si>
  <si>
    <t xml:space="preserve">6142</t>
  </si>
  <si>
    <t xml:space="preserve">Transports</t>
  </si>
  <si>
    <t xml:space="preserve">6143</t>
  </si>
  <si>
    <t xml:space="preserve">Déplacements, missions et réceptions</t>
  </si>
  <si>
    <t xml:space="preserve">6145</t>
  </si>
  <si>
    <t xml:space="preserve">Frais postaux et frais de télécommunications</t>
  </si>
  <si>
    <t xml:space="preserve">6147</t>
  </si>
  <si>
    <t xml:space="preserve">Services bancaires</t>
  </si>
  <si>
    <t xml:space="preserve">6161</t>
  </si>
  <si>
    <t xml:space="preserve">Impôts et taxes directs</t>
  </si>
  <si>
    <t xml:space="preserve">6171</t>
  </si>
  <si>
    <t xml:space="preserve">Rémunérations du personnel</t>
  </si>
  <si>
    <t xml:space="preserve">6174</t>
  </si>
  <si>
    <t xml:space="preserve">Charges sociales</t>
  </si>
  <si>
    <t xml:space="preserve">6176</t>
  </si>
  <si>
    <t xml:space="preserve">Charges sociales diverses (formation)</t>
  </si>
  <si>
    <t xml:space="preserve">6182</t>
  </si>
  <si>
    <t xml:space="preserve">Pertes sur créances irrécouvrables</t>
  </si>
  <si>
    <t xml:space="preserve">6193</t>
  </si>
  <si>
    <t xml:space="preserve">Dotations d'exploitation aux amortissements des immobilisations corporelles</t>
  </si>
  <si>
    <t xml:space="preserve">6196</t>
  </si>
  <si>
    <t xml:space="preserve">Dotations d'exploitation aux provisions pour dépréciation de l'actif circulant</t>
  </si>
  <si>
    <t xml:space="preserve">6311</t>
  </si>
  <si>
    <t xml:space="preserve">Intérêts des emprunts et dettes</t>
  </si>
  <si>
    <t xml:space="preserve">6331</t>
  </si>
  <si>
    <t xml:space="preserve">Pertes de change propres à l'exercice</t>
  </si>
  <si>
    <t xml:space="preserve">6513</t>
  </si>
  <si>
    <t xml:space="preserve">VNA des immobilisations corporelles cédées</t>
  </si>
  <si>
    <t xml:space="preserve">6588</t>
  </si>
  <si>
    <t xml:space="preserve">Autres charges non courantes</t>
  </si>
  <si>
    <t xml:space="preserve">6701</t>
  </si>
  <si>
    <t xml:space="preserve">Impôts sur les bénéfices</t>
  </si>
  <si>
    <t xml:space="preserve">CLASSE 7 — COMPTES DE PRODUITS (mouvements du mois)</t>
  </si>
  <si>
    <t xml:space="preserve">7111</t>
  </si>
  <si>
    <t xml:space="preserve">Ventes de marchandises au Maroc</t>
  </si>
  <si>
    <t xml:space="preserve">7121</t>
  </si>
  <si>
    <t xml:space="preserve">Ventes de biens produits au Maroc</t>
  </si>
  <si>
    <t xml:space="preserve">7122</t>
  </si>
  <si>
    <t xml:space="preserve">Ventes de biens produits à l'étranger (export aéronautique)</t>
  </si>
  <si>
    <t xml:space="preserve">7131</t>
  </si>
  <si>
    <t xml:space="preserve">Variation des stocks de produits en cours (±)</t>
  </si>
  <si>
    <t xml:space="preserve">7132</t>
  </si>
  <si>
    <t xml:space="preserve">Variation des stocks de biens produits (±)</t>
  </si>
  <si>
    <t xml:space="preserve">7142</t>
  </si>
  <si>
    <t xml:space="preserve">Immobilisations corporelles produites (outillages)</t>
  </si>
  <si>
    <t xml:space="preserve">7161</t>
  </si>
  <si>
    <t xml:space="preserve">Subventions d'exploitation reçues (formation)</t>
  </si>
  <si>
    <t xml:space="preserve">7196</t>
  </si>
  <si>
    <t xml:space="preserve">Reprises sur provisions pour dépréciation de l'actif circulant</t>
  </si>
  <si>
    <t xml:space="preserve">7197</t>
  </si>
  <si>
    <t xml:space="preserve">Transferts de charges d'exploitation</t>
  </si>
  <si>
    <t xml:space="preserve">7331</t>
  </si>
  <si>
    <t xml:space="preserve">Gains de change propres à l'exercice</t>
  </si>
  <si>
    <t xml:space="preserve">7381</t>
  </si>
  <si>
    <t xml:space="preserve">Intérêts et produits assimilés</t>
  </si>
  <si>
    <t xml:space="preserve">7513</t>
  </si>
  <si>
    <t xml:space="preserve">Produits des cessions des immobilisations corporelles</t>
  </si>
  <si>
    <t xml:space="preserve">Contrôle d'équilibre : total Débits − total Crédits (doit être égal à 0)</t>
  </si>
  <si>
    <t xml:space="preserve">DONNÉES DE RÉFÉRENCE N-1 (exercice 2022) — fictives</t>
  </si>
  <si>
    <t xml:space="preserve">Résultat net 2022 (même mois N-1)</t>
  </si>
  <si>
    <t xml:space="preserve">COMPTE DE PRODUITS ET CHARGES (CPC) — Modèle normal CGNC — 2023</t>
  </si>
  <si>
    <t xml:space="preserve">Montants en MAD · Calcul automatique mensuel depuis l'onglet Balance (SOMMEPROD par racine de compte) · Données fictives</t>
  </si>
  <si>
    <t xml:space="preserve">Réf.</t>
  </si>
  <si>
    <t xml:space="preserve">DÉSIGNATION</t>
  </si>
  <si>
    <t xml:space="preserve">Comptes</t>
  </si>
  <si>
    <t xml:space="preserve">Exercice 2023</t>
  </si>
  <si>
    <t xml:space="preserve">I</t>
  </si>
  <si>
    <t xml:space="preserve">PRODUITS D'EXPLOITATION</t>
  </si>
  <si>
    <t xml:space="preserve">Ventes de marchandises (en l'état)</t>
  </si>
  <si>
    <t xml:space="preserve">711</t>
  </si>
  <si>
    <t xml:space="preserve">Ventes de biens et services produits</t>
  </si>
  <si>
    <t xml:space="preserve">712</t>
  </si>
  <si>
    <t xml:space="preserve">Chiffre d'affaires</t>
  </si>
  <si>
    <t xml:space="preserve">Variation de stocks de produits (±)</t>
  </si>
  <si>
    <t xml:space="preserve">713</t>
  </si>
  <si>
    <t xml:space="preserve">Immobilisations produites par l'entreprise pour elle-même</t>
  </si>
  <si>
    <t xml:space="preserve">714</t>
  </si>
  <si>
    <t xml:space="preserve">Subventions d'exploitation</t>
  </si>
  <si>
    <t xml:space="preserve">716</t>
  </si>
  <si>
    <t xml:space="preserve">Autres produits d'exploitation</t>
  </si>
  <si>
    <t xml:space="preserve">718</t>
  </si>
  <si>
    <t xml:space="preserve">Reprises d'exploitation ; transferts de charges</t>
  </si>
  <si>
    <t xml:space="preserve">719</t>
  </si>
  <si>
    <t xml:space="preserve">TOTAL I</t>
  </si>
  <si>
    <t xml:space="preserve">II</t>
  </si>
  <si>
    <t xml:space="preserve">CHARGES D'EXPLOITATION</t>
  </si>
  <si>
    <t xml:space="preserve">Achats revendus de marchandises</t>
  </si>
  <si>
    <t xml:space="preserve">611</t>
  </si>
  <si>
    <t xml:space="preserve">Achats consommés de matières et fournitures</t>
  </si>
  <si>
    <t xml:space="preserve">612</t>
  </si>
  <si>
    <t xml:space="preserve">Autres charges externes</t>
  </si>
  <si>
    <t xml:space="preserve">613 / 614</t>
  </si>
  <si>
    <t xml:space="preserve">Impôts et taxes</t>
  </si>
  <si>
    <t xml:space="preserve">616</t>
  </si>
  <si>
    <t xml:space="preserve">Charges de personnel</t>
  </si>
  <si>
    <t xml:space="preserve">617</t>
  </si>
  <si>
    <t xml:space="preserve">Autres charges d'exploitation</t>
  </si>
  <si>
    <t xml:space="preserve">618</t>
  </si>
  <si>
    <t xml:space="preserve">Dotations d'exploitation</t>
  </si>
  <si>
    <t xml:space="preserve">619</t>
  </si>
  <si>
    <t xml:space="preserve">TOTAL II</t>
  </si>
  <si>
    <t xml:space="preserve">III. RÉSULTAT D'EXPLOITATION (I − II)</t>
  </si>
  <si>
    <t xml:space="preserve">IV</t>
  </si>
  <si>
    <t xml:space="preserve">PRODUITS FINANCIERS</t>
  </si>
  <si>
    <t xml:space="preserve">Produits des titres de participation et autres titres immobilisés</t>
  </si>
  <si>
    <t xml:space="preserve">732</t>
  </si>
  <si>
    <t xml:space="preserve">Gains de change</t>
  </si>
  <si>
    <t xml:space="preserve">733</t>
  </si>
  <si>
    <t xml:space="preserve">Intérêts et autres produits financiers</t>
  </si>
  <si>
    <t xml:space="preserve">738</t>
  </si>
  <si>
    <t xml:space="preserve">Reprises financières ; transferts de charges</t>
  </si>
  <si>
    <t xml:space="preserve">739</t>
  </si>
  <si>
    <t xml:space="preserve">TOTAL IV</t>
  </si>
  <si>
    <t xml:space="preserve">V</t>
  </si>
  <si>
    <t xml:space="preserve">CHARGES FINANCIÈRES</t>
  </si>
  <si>
    <t xml:space="preserve">Charges d'intérêts</t>
  </si>
  <si>
    <t xml:space="preserve">631</t>
  </si>
  <si>
    <t xml:space="preserve">Pertes de change</t>
  </si>
  <si>
    <t xml:space="preserve">633</t>
  </si>
  <si>
    <t xml:space="preserve">Autres charges financières</t>
  </si>
  <si>
    <t xml:space="preserve">638</t>
  </si>
  <si>
    <t xml:space="preserve">Dotations financières</t>
  </si>
  <si>
    <t xml:space="preserve">639</t>
  </si>
  <si>
    <t xml:space="preserve">TOTAL V</t>
  </si>
  <si>
    <t xml:space="preserve">VI. RÉSULTAT FINANCIER (IV − V)</t>
  </si>
  <si>
    <t xml:space="preserve">VII. RÉSULTAT COURANT (III + VI)</t>
  </si>
  <si>
    <t xml:space="preserve">VIII</t>
  </si>
  <si>
    <t xml:space="preserve">PRODUITS NON COURANTS</t>
  </si>
  <si>
    <t xml:space="preserve">Produits des cessions d'immobilisations</t>
  </si>
  <si>
    <t xml:space="preserve">751</t>
  </si>
  <si>
    <t xml:space="preserve">Subventions d'équilibre</t>
  </si>
  <si>
    <t xml:space="preserve">756</t>
  </si>
  <si>
    <t xml:space="preserve">Reprises sur subventions d'investissement</t>
  </si>
  <si>
    <t xml:space="preserve">757</t>
  </si>
  <si>
    <t xml:space="preserve">Autres produits non courants</t>
  </si>
  <si>
    <t xml:space="preserve">758</t>
  </si>
  <si>
    <t xml:space="preserve">Reprises non courantes ; transferts de charges</t>
  </si>
  <si>
    <t xml:space="preserve">759</t>
  </si>
  <si>
    <t xml:space="preserve">TOTAL VIII</t>
  </si>
  <si>
    <t xml:space="preserve">IX</t>
  </si>
  <si>
    <t xml:space="preserve">CHARGES NON COURANTES</t>
  </si>
  <si>
    <t xml:space="preserve">Valeurs nettes d'amortissements des immobilisations cédées</t>
  </si>
  <si>
    <t xml:space="preserve">651</t>
  </si>
  <si>
    <t xml:space="preserve">Subventions accordées</t>
  </si>
  <si>
    <t xml:space="preserve">656</t>
  </si>
  <si>
    <t xml:space="preserve">658</t>
  </si>
  <si>
    <t xml:space="preserve">Dotations non courantes aux amortissements et aux provisions</t>
  </si>
  <si>
    <t xml:space="preserve">659</t>
  </si>
  <si>
    <t xml:space="preserve">TOTAL IX</t>
  </si>
  <si>
    <t xml:space="preserve">X. RÉSULTAT NON COURANT (VIII − IX)</t>
  </si>
  <si>
    <t xml:space="preserve">XI. RÉSULTAT AVANT IMPÔTS (VII + X)</t>
  </si>
  <si>
    <t xml:space="preserve">XII. IMPÔTS SUR LES RÉSULTATS</t>
  </si>
  <si>
    <t xml:space="preserve">670</t>
  </si>
  <si>
    <t xml:space="preserve">XIII. RÉSULTAT NET (XI − XII)</t>
  </si>
  <si>
    <t xml:space="preserve">XIV. TOTAL DES PRODUITS (I + IV + VIII)</t>
  </si>
  <si>
    <t xml:space="preserve">XV. TOTAL DES CHARGES (II + V + IX + XII)</t>
  </si>
  <si>
    <t xml:space="preserve">XIII. RÉSULTAT NET (XIV − XV) — contrôle</t>
  </si>
  <si>
    <t xml:space="preserve">Contrôle : écart entre les deux calculs du résultat net (doit être 0)</t>
  </si>
  <si>
    <t xml:space="preserve">ÉTAT DES SOLDES DE GESTION (ESG) — CGNC — 2023</t>
  </si>
  <si>
    <t xml:space="preserve">Montants en MAD · Calcul automatique mensuel depuis le CPC et la Balance · Données fictives</t>
  </si>
  <si>
    <t xml:space="preserve">Source</t>
  </si>
  <si>
    <t xml:space="preserve">A</t>
  </si>
  <si>
    <t xml:space="preserve">TABLEAU DE FORMATION DES RÉSULTATS (TFR)</t>
  </si>
  <si>
    <t xml:space="preserve">1. Ventes de marchandises (en l'état)</t>
  </si>
  <si>
    <t xml:space="preserve">CPC</t>
  </si>
  <si>
    <t xml:space="preserve">2. − Achats revendus de marchandises</t>
  </si>
  <si>
    <t xml:space="preserve">I. = MARGE BRUTE SUR VENTES EN L'ÉTAT</t>
  </si>
  <si>
    <t xml:space="preserve">3. Ventes de biens et services produits</t>
  </si>
  <si>
    <t xml:space="preserve">4. Variation de stocks de produits (±)</t>
  </si>
  <si>
    <t xml:space="preserve">5. Immobilisations produites par l'entreprise pour elle-même</t>
  </si>
  <si>
    <t xml:space="preserve">II. + PRODUCTION DE L'EXERCICE (3 + 4 + 5)</t>
  </si>
  <si>
    <t xml:space="preserve">6. Achats consommés de matières et fournitures</t>
  </si>
  <si>
    <t xml:space="preserve">7. Autres charges externes</t>
  </si>
  <si>
    <t xml:space="preserve">III. − CONSOMMATION DE L'EXERCICE (6 + 7)</t>
  </si>
  <si>
    <t xml:space="preserve">IV. = VALEUR AJOUTÉE (I + II − III)</t>
  </si>
  <si>
    <t xml:space="preserve">8. + Subventions d'exploitation</t>
  </si>
  <si>
    <t xml:space="preserve">9. − Impôts et taxes</t>
  </si>
  <si>
    <t xml:space="preserve">10. − Charges de personnel</t>
  </si>
  <si>
    <t xml:space="preserve">V. = EXCÉDENT BRUT D'EXPLOITATION (EBE) ou INSUFFISANCE (IBE)</t>
  </si>
  <si>
    <t xml:space="preserve">11. + Autres produits d'exploitation</t>
  </si>
  <si>
    <t xml:space="preserve">12. − Autres charges d'exploitation</t>
  </si>
  <si>
    <t xml:space="preserve">13. + Reprises d'exploitation, transferts de charges</t>
  </si>
  <si>
    <t xml:space="preserve">14. − Dotations d'exploitation</t>
  </si>
  <si>
    <t xml:space="preserve">VI. = RÉSULTAT D'EXPLOITATION (+ ou −)</t>
  </si>
  <si>
    <t xml:space="preserve">VII. ± RÉSULTAT FINANCIER</t>
  </si>
  <si>
    <t xml:space="preserve">VIII. = RÉSULTAT COURANT (+ ou −)</t>
  </si>
  <si>
    <t xml:space="preserve">IX. ± RÉSULTAT NON COURANT</t>
  </si>
  <si>
    <t xml:space="preserve">15. − Impôts sur les résultats</t>
  </si>
  <si>
    <t xml:space="preserve">X. = RÉSULTAT NET DE L'EXERCICE (+ ou −)</t>
  </si>
  <si>
    <t xml:space="preserve">B</t>
  </si>
  <si>
    <t xml:space="preserve">CAPACITÉ D'AUTOFINANCEMENT (CAF) — méthode additive CGNC</t>
  </si>
  <si>
    <t xml:space="preserve">1. Résultat net de l'exercice</t>
  </si>
  <si>
    <t xml:space="preserve">ESG</t>
  </si>
  <si>
    <t xml:space="preserve">2. + Dotations d'exploitation (hors actif circulant)</t>
  </si>
  <si>
    <t xml:space="preserve">Balance</t>
  </si>
  <si>
    <t xml:space="preserve">3. + Dotations financières</t>
  </si>
  <si>
    <t xml:space="preserve">4. + Dotations non courantes</t>
  </si>
  <si>
    <t xml:space="preserve">5. − Reprises d'exploitation (hors actif circulant et transferts de charges)</t>
  </si>
  <si>
    <t xml:space="preserve">6. − Reprises financières</t>
  </si>
  <si>
    <t xml:space="preserve">7. − Reprises non courantes</t>
  </si>
  <si>
    <t xml:space="preserve">8. − Produits des cessions d'immobilisations</t>
  </si>
  <si>
    <t xml:space="preserve">9. + Valeurs nettes d'amortissements des immobilisations cédées</t>
  </si>
  <si>
    <t xml:space="preserve">I. CAPACITÉ D'AUTOFINANCEMENT (CAF)</t>
  </si>
  <si>
    <t xml:space="preserve">Contrôle : Résultat net ESG − Résultat net CPC (doit être 0)</t>
  </si>
  <si>
    <t xml:space="preserve">REPORTING — Indicateurs clés et élasticité CA / REX — 2023</t>
  </si>
  <si>
    <t xml:space="preserve">Formules vivantes alimentées par le CPC, l'ESG et la Balance · Choisissez un mois en C4 · Données fictives</t>
  </si>
  <si>
    <t xml:space="preserve">▸ MOIS SÉLECTIONNÉ (sélecteur)</t>
  </si>
  <si>
    <t xml:space="preserve">← cliquez sur la cellule et choisissez un mois dans la liste</t>
  </si>
  <si>
    <t xml:space="preserve">Seuil « non significatif » : |variation du CA| inférieure à</t>
  </si>
  <si>
    <t xml:space="preserve">Élasticité « proportionnelle » : borne basse</t>
  </si>
  <si>
    <t xml:space="preserve">Élasticité « proportionnelle » : borne haute</t>
  </si>
  <si>
    <t xml:space="preserve">Indicateur</t>
  </si>
  <si>
    <t xml:space="preserve">Unité</t>
  </si>
  <si>
    <t xml:space="preserve">Repère</t>
  </si>
  <si>
    <t xml:space="preserve">Année 2023</t>
  </si>
  <si>
    <t xml:space="preserve">Mois sélectionné</t>
  </si>
  <si>
    <t xml:space="preserve">1. ÉLASTICITÉ CA / REX — le résultat d'exploitation suit-il le chiffre d'affaires ?</t>
  </si>
  <si>
    <t xml:space="preserve">MAD</t>
  </si>
  <si>
    <t xml:space="preserve">Variation du CA vs mois précédent</t>
  </si>
  <si>
    <t xml:space="preserve">%</t>
  </si>
  <si>
    <t xml:space="preserve">–</t>
  </si>
  <si>
    <t xml:space="preserve">Résultat d'exploitation (REX)</t>
  </si>
  <si>
    <t xml:space="preserve">Variation du REX vs mois précédent</t>
  </si>
  <si>
    <t xml:space="preserve">Marge d'exploitation (REX / CA)</t>
  </si>
  <si>
    <t xml:space="preserve">10 % à 15 %</t>
  </si>
  <si>
    <t xml:space="preserve">Élasticité REX / CA</t>
  </si>
  <si>
    <t xml:space="preserve">coef.</t>
  </si>
  <si>
    <t xml:space="preserve">&gt; 1 = levier positif</t>
  </si>
  <si>
    <t xml:space="preserve">Lecture de l'élasticité</t>
  </si>
  <si>
    <t xml:space="preserve">voir code couleur</t>
  </si>
  <si>
    <t xml:space="preserve">2. RENTABILITÉ ET PERFORMANCE</t>
  </si>
  <si>
    <t xml:space="preserve">Poids de la masse salariale / CA</t>
  </si>
  <si>
    <t xml:space="preserve">&lt; 30 %</t>
  </si>
  <si>
    <t xml:space="preserve">CAF / CA</t>
  </si>
  <si>
    <t xml:space="preserve">&gt; 10 %</t>
  </si>
  <si>
    <t xml:space="preserve">Résultat net</t>
  </si>
  <si>
    <t xml:space="preserve">Résultat net N-1 (même mois 2022)</t>
  </si>
  <si>
    <t xml:space="preserve">Taux de croissance du résultat net (vs N-1)</t>
  </si>
  <si>
    <t xml:space="preserve">5 % à 10 %</t>
  </si>
  <si>
    <t xml:space="preserve">Ratio de densité des charges externes (charges externes / CA)</t>
  </si>
  <si>
    <t xml:space="preserve">&lt; 10 %</t>
  </si>
  <si>
    <t xml:space="preserve">Charges variables (matières, sous-traitance, énergie, transports)</t>
  </si>
  <si>
    <t xml:space="preserve">hypothèse</t>
  </si>
  <si>
    <t xml:space="preserve">Marge sur coûts variables (MCV)</t>
  </si>
  <si>
    <t xml:space="preserve">Effet de levier opérationnel (MCV / REX)</t>
  </si>
  <si>
    <t xml:space="preserve">x</t>
  </si>
  <si>
    <t xml:space="preserve">2x à 4x</t>
  </si>
  <si>
    <t xml:space="preserve">3. INDICATEURS SPÉCIFIQUES AÉRONAUTIQUE</t>
  </si>
  <si>
    <t xml:space="preserve">Production de l'exercice</t>
  </si>
  <si>
    <t xml:space="preserve">Valeur ajoutée</t>
  </si>
  <si>
    <t xml:space="preserve">Taux de valeur ajoutée locale (VA / Production)</t>
  </si>
  <si>
    <t xml:space="preserve">&gt; 40 %</t>
  </si>
  <si>
    <t xml:space="preserve">Poids du personnel dans la valeur ajoutée</t>
  </si>
  <si>
    <t xml:space="preserve">&lt; 65 % sain</t>
  </si>
  <si>
    <t xml:space="preserve">Résultat de change net (gains − pertes)</t>
  </si>
  <si>
    <t xml:space="preserve">REX corrigé du change</t>
  </si>
  <si>
    <t xml:space="preserve">Part du change dans le REX</t>
  </si>
  <si>
    <t xml:space="preserve">&lt; 20 %</t>
  </si>
  <si>
    <t xml:space="preserve">4. FINANCEMENT, BFR ET CYCLE DE TRÉSORERIE</t>
  </si>
  <si>
    <t xml:space="preserve">Encours de la dette bancaire (fin de mois)</t>
  </si>
  <si>
    <t xml:space="preserve">Coût moyen de la dette (annualisé)</t>
  </si>
  <si>
    <t xml:space="preserve">4 % à 7 %</t>
  </si>
  <si>
    <t xml:space="preserve">Stocks (matières, en-cours, produits finis)</t>
  </si>
  <si>
    <t xml:space="preserve">Créances clients (brut)</t>
  </si>
  <si>
    <t xml:space="preserve">− Provisions pour dépréciation des clients</t>
  </si>
  <si>
    <t xml:space="preserve">Autres créances d'exploitation (État)</t>
  </si>
  <si>
    <t xml:space="preserve">Dettes fournisseurs</t>
  </si>
  <si>
    <t xml:space="preserve">Autres dettes d'exploitation (personnel, CNSS, État)</t>
  </si>
  <si>
    <t xml:space="preserve">BFR d'exploitation (mensuel)</t>
  </si>
  <si>
    <t xml:space="preserve">DSO — délai de paiement clients</t>
  </si>
  <si>
    <t xml:space="preserve">jours</t>
  </si>
  <si>
    <t xml:space="preserve">≈ 60 j</t>
  </si>
  <si>
    <t xml:space="preserve">DPO — délai de paiement fournisseurs</t>
  </si>
  <si>
    <t xml:space="preserve">60 à 75 j</t>
  </si>
  <si>
    <t xml:space="preserve">DIO — stocks en jours de CA</t>
  </si>
  <si>
    <t xml:space="preserve">60 à 90 j</t>
  </si>
  <si>
    <t xml:space="preserve">CCC — cycle de conversion du cash (DSO + DIO − DPO)</t>
  </si>
  <si>
    <t xml:space="preserve">le plus bas possible</t>
  </si>
  <si>
    <t xml:space="preserve">Code couleur de l'élasticité :</t>
  </si>
  <si>
    <t xml:space="preserve">▲ Levier fort / ▼ REX résiste / ▼ REX progresse</t>
  </si>
  <si>
    <t xml:space="preserve">Détail des règles : onglet « Lecture ».</t>
  </si>
  <si>
    <t xml:space="preserve">Proportionnel (le REX suit le CA)</t>
  </si>
  <si>
    <t xml:space="preserve">▲ Marge érodée</t>
  </si>
  <si>
    <t xml:space="preserve">▲ Sens contraire / ▼ REX chute plus vite</t>
  </si>
  <si>
    <t xml:space="preserve">n.s. = non significatif (CA quasi stable ou REX précédent ≤ 0)</t>
  </si>
  <si>
    <t xml:space="preserve">DASHBOARD — AéroTech Maroc — Performance 2023</t>
  </si>
  <si>
    <t xml:space="preserve">Tableau de bord interactif · Choisissez le mois en D4 : les cartes et la barre dorée se mettent à jour · Données fictives</t>
  </si>
  <si>
    <t xml:space="preserve">Mois analysé :</t>
  </si>
  <si>
    <t xml:space="preserve">◄ sélecteur de mois</t>
  </si>
  <si>
    <t xml:space="preserve">CHIFFRE D'AFFAIRES (MAD)</t>
  </si>
  <si>
    <t xml:space="preserve">DSO — DÉLAI CLIENTS</t>
  </si>
  <si>
    <t xml:space="preserve">DPO — DÉLAI FOURNISSEURS</t>
  </si>
  <si>
    <t xml:space="preserve">CROISSANCE RÉSULTAT NET</t>
  </si>
  <si>
    <t xml:space="preserve">Marge d'expl.</t>
  </si>
  <si>
    <t xml:space="preserve">Cycle cash</t>
  </si>
  <si>
    <t xml:space="preserve">RN du mois</t>
  </si>
  <si>
    <t xml:space="preserve">Astuce : les cartes, la barre dorée du graphique CA et la colonne « Mois sélectionné » du Reporting se pilotent par un sélecteur de mois (D4 ici, C4 dans le Reporting).</t>
  </si>
  <si>
    <t xml:space="preserve">Données des graphiques et des cartes (liées automatiquement à l'onglet Reporting — ne pas saisir)</t>
  </si>
  <si>
    <t xml:space="preserve">Mois</t>
  </si>
  <si>
    <t xml:space="preserve">CA</t>
  </si>
  <si>
    <t xml:space="preserve">REX</t>
  </si>
  <si>
    <t xml:space="preserve">DSO</t>
  </si>
  <si>
    <t xml:space="preserve">DPO</t>
  </si>
  <si>
    <t xml:space="preserve">Croissance RN</t>
  </si>
  <si>
    <t xml:space="preserve">Marge expl.</t>
  </si>
  <si>
    <t xml:space="preserve">CCC</t>
  </si>
  <si>
    <t xml:space="preserve">CA autres mois</t>
  </si>
  <si>
    <t xml:space="preserve">CA mois choisi</t>
  </si>
  <si>
    <t xml:space="preserve">LECTURE — Comprendre les indicateurs en 1 minute</t>
  </si>
  <si>
    <t xml:space="preserve">Explications simples, sans jargon, pour tous les lecteurs du reporting</t>
  </si>
  <si>
    <t xml:space="preserve">Ce que ça mesure</t>
  </si>
  <si>
    <t xml:space="preserve">Comment le lire</t>
  </si>
  <si>
    <t xml:space="preserve">Repère / alerte</t>
  </si>
  <si>
    <t xml:space="preserve">L'ÉLASTICITÉ CA / REX</t>
  </si>
  <si>
    <t xml:space="preserve">De combien bouge le résultat d'exploitation quand le chiffre d'affaires bouge de 1 %.</t>
  </si>
  <si>
    <t xml:space="preserve">Exemple : CA +10 % et REX +25 % → élasticité 2,5. Chaque point de CA gagné rapporte 2,5 points de REX.</t>
  </si>
  <si>
    <t xml:space="preserve">&gt; 1,2 levier fort · 0,8 à 1,2 proportionnel · 0 à 0,8 marge érodée · ≤ 0 sens contraire</t>
  </si>
  <si>
    <t xml:space="preserve">Quand le CA baisse</t>
  </si>
  <si>
    <t xml:space="preserve">La lecture s'inverse : on regarde si le REX résiste.</t>
  </si>
  <si>
    <t xml:space="preserve">Élasticité &gt; 1,2 : le REX chute plus vite que le CA (alerte). Entre 0 et 0,8 : le REX résiste. ≤ 0 : le REX progresse malgré la baisse.</t>
  </si>
  <si>
    <t xml:space="preserve">▼ REX chute plus vite = rouge</t>
  </si>
  <si>
    <t xml:space="preserve">n.s. (non significatif)</t>
  </si>
  <si>
    <t xml:space="preserve">Le calcul n'est pas affiché car il serait trompeur.</t>
  </si>
  <si>
    <t xml:space="preserve">Cas 1 : le CA a bougé de moins de 2 % → on divise par un tout petit chiffre et le résultat explose. Cas 2 : le REX du mois précédent est négatif ou nul → le signe s'inverse ou division par zéro.</t>
  </si>
  <si>
    <t xml:space="preserve">Regarder directement les lignes « Variation du CA » et « Variation du REX »</t>
  </si>
  <si>
    <t xml:space="preserve">RENTABILITÉ</t>
  </si>
  <si>
    <t xml:space="preserve">Marge d'exploitation</t>
  </si>
  <si>
    <t xml:space="preserve">Sur 100 MAD de ventes, combien il reste après les coûts d'exploitation.</t>
  </si>
  <si>
    <t xml:space="preserve">Plus elle est haute, plus le métier est rentable. Comparer mois par mois et à l'année.</t>
  </si>
  <si>
    <t xml:space="preserve">Repère PME aéronautique : 10 % à 15 %</t>
  </si>
  <si>
    <t xml:space="preserve">Masse salariale / CA</t>
  </si>
  <si>
    <t xml:space="preserve">Le poids des salaires et charges sociales dans les ventes.</t>
  </si>
  <si>
    <t xml:space="preserve">S'il monte alors que le CA monte aussi, l'entreprise subit le volume (heures sup., rebuts).</t>
  </si>
  <si>
    <t xml:space="preserve">La part des ventes qui se transforme en argent disponible pour investir ou rembourser.</t>
  </si>
  <si>
    <t xml:space="preserve">C'est le résultat « cash » : on rajoute les amortissements qui ne sortent pas de la trésorerie.</t>
  </si>
  <si>
    <t xml:space="preserve">Croissance du résultat net</t>
  </si>
  <si>
    <t xml:space="preserve">L'évolution du bénéfice par rapport au même mois de l'année précédente.</t>
  </si>
  <si>
    <t xml:space="preserve">Comparer au même mois de N-1 évite l'effet des saisons (août, décembre).</t>
  </si>
  <si>
    <t xml:space="preserve">Repère : +5 % à +10 %</t>
  </si>
  <si>
    <t xml:space="preserve">Densité des charges externes</t>
  </si>
  <si>
    <t xml:space="preserve">Le poids des loyers, entretien, honoraires, transports… dans les ventes.</t>
  </si>
  <si>
    <t xml:space="preserve">Une hausse sans hausse du CA signale des frais de structure qui dérivent.</t>
  </si>
  <si>
    <t xml:space="preserve">Effet de levier opérationnel</t>
  </si>
  <si>
    <t xml:space="preserve">La sensibilité « théorique » du REX au CA, calculée avec les charges fixes.</t>
  </si>
  <si>
    <t xml:space="preserve">3x signifie : +1 % de CA ≈ +3 % de REX. Plus il est élevé, plus l'entreprise est exposée en cas de baisse.</t>
  </si>
  <si>
    <t xml:space="preserve">2x à 4x normal · très élevé = forte dépendance aux volumes</t>
  </si>
  <si>
    <t xml:space="preserve">SPÉCIFIQUE AÉRONAUTIQUE</t>
  </si>
  <si>
    <t xml:space="preserve">Taux de valeur ajoutée locale</t>
  </si>
  <si>
    <t xml:space="preserve">La richesse réellement créée dans l'usine par rapport à la production.</t>
  </si>
  <si>
    <t xml:space="preserve">Bas : l'entreprise revend surtout de la matière. Très haut avec peu d'achats : matière fournie par le client.</t>
  </si>
  <si>
    <t xml:space="preserve">Poids du personnel dans la VA</t>
  </si>
  <si>
    <t xml:space="preserve">La part de la richesse créée qui sert à payer le personnel.</t>
  </si>
  <si>
    <t xml:space="preserve">Il doit baisser quand la cadence monte (effet d'apprentissage).</t>
  </si>
  <si>
    <t xml:space="preserve">&lt; 65 % sain · 65-80 % tendu · &gt; 80 % alerte</t>
  </si>
  <si>
    <t xml:space="preserve">Le résultat d'exploitation en réintégrant les gains et pertes de change.</t>
  </si>
  <si>
    <t xml:space="preserve">En CGNC, le change sur les ventes en EUR/USD va en résultat financier : on le réintègre pour voir la vraie performance.</t>
  </si>
  <si>
    <t xml:space="preserve">Part du change &lt; 20 % du REX</t>
  </si>
  <si>
    <t xml:space="preserve">FINANCEMENT ET TRÉSORERIE</t>
  </si>
  <si>
    <t xml:space="preserve">Coût moyen de la dette</t>
  </si>
  <si>
    <t xml:space="preserve">Le taux d'intérêt réel payé sur les emprunts.</t>
  </si>
  <si>
    <t xml:space="preserve">À comparer à la rentabilité de l'exploitation : la dette doit coûter moins qu'elle ne rapporte.</t>
  </si>
  <si>
    <t xml:space="preserve">BFR d'exploitation</t>
  </si>
  <si>
    <t xml:space="preserve">L'argent bloqué dans les stocks et les factures clients, moins ce qu'on doit aux fournisseurs.</t>
  </si>
  <si>
    <t xml:space="preserve">Plus il grossit, plus il faut de trésorerie pour faire tourner l'usine.</t>
  </si>
  <si>
    <t xml:space="preserve">À suivre chaque mois</t>
  </si>
  <si>
    <t xml:space="preserve">Le nombre de jours que mettent les clients à payer.</t>
  </si>
  <si>
    <t xml:space="preserve">Plus il est court, mieux c'est.</t>
  </si>
  <si>
    <t xml:space="preserve">≈ 60 jours</t>
  </si>
  <si>
    <t xml:space="preserve">Le nombre de jours que l'entreprise met à payer ses fournisseurs.</t>
  </si>
  <si>
    <t xml:space="preserve">Un DPO plus long que le DSO soulage la trésorerie (dans le respect des délais légaux).</t>
  </si>
  <si>
    <t xml:space="preserve">60 à 75 jours</t>
  </si>
  <si>
    <t xml:space="preserve">DIO</t>
  </si>
  <si>
    <t xml:space="preserve">Le nombre de jours de ventes immobilisés en stock.</t>
  </si>
  <si>
    <t xml:space="preserve">Élevé dans l'aéronautique (cycles longs).</t>
  </si>
  <si>
    <t xml:space="preserve">60 à 90 jours</t>
  </si>
  <si>
    <t xml:space="preserve">CCC (cycle de cash)</t>
  </si>
  <si>
    <t xml:space="preserve">Le nombre de jours entre le paiement des fournisseurs et l'encaissement des clients.</t>
  </si>
  <si>
    <t xml:space="preserve">CCC = DSO + DIO − DPO. Plus il est court, moins l'entreprise a besoin de financement.</t>
  </si>
  <si>
    <t xml:space="preserve">Le plus bas possible</t>
  </si>
  <si>
    <t xml:space="preserve">Code couleur du Reporting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</si>
</sst>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;\(#,##0\);\-"/>
    <numFmt numFmtId="167" formatCode="0%"/>
    <numFmt numFmtId="168" formatCode="0.0"/>
    <numFmt numFmtId="169" formatCode="\+0.0%;\-0.0%;0.0%"/>
    <numFmt numFmtId="170" formatCode="0.0%;\-0.0%;\-"/>
    <numFmt numFmtId="171" formatCode="0.0;\-0.0;0.0"/>
    <numFmt numFmtId="172" formatCode="0.0\x;\-0.0\x;\-"/>
    <numFmt numFmtId="173" formatCode="0&quot; j&quot;;\-0&quot; j&quot;;\-"/>
    <numFmt numFmtId="174" formatCode="#,##0"/>
  </numFmts>
  <fonts count="3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F6EED8"/>
      <name val="Arial"/>
      <family val="0"/>
      <charset val="1"/>
    </font>
    <font>
      <b val="true"/>
      <sz val="11"/>
      <color rgb="FF7A1E2C"/>
      <name val="Arial"/>
      <family val="0"/>
      <charset val="1"/>
    </font>
    <font>
      <sz val="10"/>
      <color rgb="FF8A7F80"/>
      <name val="Arial"/>
      <family val="0"/>
      <charset val="1"/>
    </font>
    <font>
      <b val="true"/>
      <sz val="10"/>
      <color rgb="FF3A2A2D"/>
      <name val="Arial"/>
      <family val="0"/>
      <charset val="1"/>
    </font>
    <font>
      <b val="true"/>
      <u val="single"/>
      <sz val="11"/>
      <color rgb="FF7A1E2C"/>
      <name val="Arial"/>
      <family val="0"/>
      <charset val="1"/>
    </font>
    <font>
      <sz val="10"/>
      <color rgb="FF3A2A2D"/>
      <name val="Arial"/>
      <family val="0"/>
      <charset val="1"/>
    </font>
    <font>
      <b val="true"/>
      <sz val="10"/>
      <color rgb="FF2E6B3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7A1E2C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u val="single"/>
      <sz val="10"/>
      <color rgb="FFC9A54C"/>
      <name val="Arial"/>
      <family val="0"/>
      <charset val="1"/>
    </font>
    <font>
      <i val="true"/>
      <sz val="9"/>
      <color rgb="FFF6EED8"/>
      <name val="Arial"/>
      <family val="0"/>
      <charset val="1"/>
    </font>
    <font>
      <b val="true"/>
      <sz val="9"/>
      <color rgb="FF8A7F8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9"/>
      <color rgb="FF8A7F80"/>
      <name val="Arial"/>
      <family val="0"/>
      <charset val="1"/>
    </font>
    <font>
      <i val="true"/>
      <sz val="9"/>
      <color rgb="FF8A7F80"/>
      <name val="Arial"/>
      <family val="0"/>
      <charset val="1"/>
    </font>
    <font>
      <b val="true"/>
      <sz val="9"/>
      <color rgb="FF3A2A2D"/>
      <name val="Arial"/>
      <family val="0"/>
      <charset val="1"/>
    </font>
    <font>
      <b val="true"/>
      <sz val="9"/>
      <color rgb="FF2E6B3A"/>
      <name val="Arial"/>
      <family val="0"/>
      <charset val="1"/>
    </font>
    <font>
      <b val="true"/>
      <sz val="9"/>
      <color rgb="FF2F4F7A"/>
      <name val="Arial"/>
      <family val="0"/>
      <charset val="1"/>
    </font>
    <font>
      <b val="true"/>
      <sz val="9"/>
      <color rgb="FF8A5A12"/>
      <name val="Arial"/>
      <family val="0"/>
      <charset val="1"/>
    </font>
    <font>
      <b val="true"/>
      <sz val="9"/>
      <color rgb="FF8E1F2B"/>
      <name val="Arial"/>
      <family val="0"/>
      <charset val="1"/>
    </font>
    <font>
      <b val="true"/>
      <sz val="9"/>
      <color rgb="FF7A72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7A1E2C"/>
      <name val="Arial"/>
      <family val="0"/>
      <charset val="1"/>
    </font>
    <font>
      <sz val="8"/>
      <color rgb="FF8A7F80"/>
      <name val="Arial"/>
      <family val="0"/>
      <charset val="1"/>
    </font>
    <font>
      <b val="true"/>
      <sz val="9"/>
      <color rgb="FF7A1E2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3A2A2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8A7F8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7A1E2C"/>
        <bgColor rgb="FF8E1F2B"/>
      </patternFill>
    </fill>
    <fill>
      <patternFill patternType="solid">
        <fgColor rgb="FFF6ECEE"/>
        <bgColor rgb="FFEFEDEC"/>
      </patternFill>
    </fill>
    <fill>
      <patternFill patternType="solid">
        <fgColor rgb="FFF6EED8"/>
        <bgColor rgb="FFFBEAD3"/>
      </patternFill>
    </fill>
    <fill>
      <patternFill patternType="solid">
        <fgColor rgb="FFC9A54C"/>
        <bgColor rgb="FFFF8080"/>
      </patternFill>
    </fill>
    <fill>
      <patternFill patternType="solid">
        <fgColor rgb="FFE2EFE3"/>
        <bgColor rgb="FFE3EBF5"/>
      </patternFill>
    </fill>
    <fill>
      <patternFill patternType="solid">
        <fgColor rgb="FFE3EBF5"/>
        <bgColor rgb="FFE2EFE3"/>
      </patternFill>
    </fill>
    <fill>
      <patternFill patternType="solid">
        <fgColor rgb="FFFBEAD3"/>
        <bgColor rgb="FFF6EED8"/>
      </patternFill>
    </fill>
    <fill>
      <patternFill patternType="solid">
        <fgColor rgb="FFF5DCDD"/>
        <bgColor rgb="FFFBEAD3"/>
      </patternFill>
    </fill>
    <fill>
      <patternFill patternType="solid">
        <fgColor rgb="FFEFEDEC"/>
        <bgColor rgb="FFF6ECEE"/>
      </patternFill>
    </fill>
    <fill>
      <patternFill patternType="solid">
        <fgColor rgb="FFFBF8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54C"/>
      </bottom>
      <diagonal/>
    </border>
    <border diagonalUp="false" diagonalDown="false">
      <left/>
      <right/>
      <top/>
      <bottom style="thin">
        <color rgb="FFE2D6D0"/>
      </bottom>
      <diagonal/>
    </border>
    <border diagonalUp="false" diagonalDown="false">
      <left style="medium">
        <color rgb="FFC9A54C"/>
      </left>
      <right style="medium">
        <color rgb="FFC9A54C"/>
      </right>
      <top style="medium">
        <color rgb="FFC9A54C"/>
      </top>
      <bottom style="medium">
        <color rgb="FFC9A54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1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8E1F2B"/>
      </font>
      <fill>
        <patternFill>
          <bgColor rgb="FFF5DCDD"/>
        </patternFill>
      </fill>
    </dxf>
    <dxf>
      <font>
        <name val="Arial"/>
        <charset val="1"/>
        <family val="0"/>
        <b val="1"/>
        <color rgb="FF2E6B3A"/>
      </font>
      <fill>
        <patternFill>
          <bgColor rgb="FFE2EFE3"/>
        </patternFill>
      </fill>
    </dxf>
    <dxf>
      <font>
        <name val="Arial"/>
        <charset val="1"/>
        <family val="0"/>
        <b val="1"/>
        <color rgb="FF2F4F7A"/>
      </font>
      <fill>
        <patternFill>
          <bgColor rgb="FFE3EBF5"/>
        </patternFill>
      </fill>
    </dxf>
    <dxf>
      <font>
        <name val="Arial"/>
        <charset val="1"/>
        <family val="0"/>
        <b val="1"/>
        <color rgb="FF8A5A12"/>
      </font>
      <fill>
        <patternFill>
          <bgColor rgb="FFFBEAD3"/>
        </patternFill>
      </fill>
    </dxf>
    <dxf>
      <font>
        <name val="Arial"/>
        <charset val="1"/>
        <family val="0"/>
        <color rgb="FF7A7272"/>
      </font>
      <fill>
        <patternFill>
          <bgColor rgb="FFEFEDEC"/>
        </patternFill>
      </fill>
    </dxf>
    <dxf>
      <fill>
        <patternFill>
          <bgColor rgb="FFF6EED8"/>
        </patternFill>
      </fill>
    </dxf>
    <dxf>
      <font>
        <name val="Arial"/>
        <charset val="1"/>
        <family val="0"/>
        <b val="1"/>
        <color rgb="FF7A1E2C"/>
      </font>
      <fill>
        <patternFill>
          <bgColor rgb="FFC9A54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2C"/>
      <rgbColor rgb="FF2E6B3A"/>
      <rgbColor rgb="FF000080"/>
      <rgbColor rgb="FF8A5A12"/>
      <rgbColor rgb="FF800080"/>
      <rgbColor rgb="FF008080"/>
      <rgbColor rgb="FFF5DCDD"/>
      <rgbColor rgb="FF8A7F80"/>
      <rgbColor rgb="FF9999FF"/>
      <rgbColor rgb="FF993366"/>
      <rgbColor rgb="FFFBF8F2"/>
      <rgbColor rgb="FFE3EB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DEC"/>
      <rgbColor rgb="FFE2EFE3"/>
      <rgbColor rgb="FFF6EED8"/>
      <rgbColor rgb="FFF6ECEE"/>
      <rgbColor rgb="FFFBEAD3"/>
      <rgbColor rgb="FFCC99FF"/>
      <rgbColor rgb="FFE2D6D0"/>
      <rgbColor rgb="FF3366FF"/>
      <rgbColor rgb="FF33CCCC"/>
      <rgbColor rgb="FF99CC00"/>
      <rgbColor rgb="FFFFCC00"/>
      <rgbColor rgb="FFC9A54C"/>
      <rgbColor rgb="FFFF6600"/>
      <rgbColor rgb="FF7A7272"/>
      <rgbColor rgb="FF878787"/>
      <rgbColor rgb="FF003366"/>
      <rgbColor rgb="FF339966"/>
      <rgbColor rgb="FF003300"/>
      <rgbColor rgb="FF333300"/>
      <rgbColor rgb="FF8E1F2B"/>
      <rgbColor rgb="FF993366"/>
      <rgbColor rgb="FF2F4F7A"/>
      <rgbColor rgb="FF3A2A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Chiffre d'affaires mensuel (MAD) — mois choisi en doré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DASHBOARD!L52</c:f>
              <c:strCache>
                <c:ptCount val="1"/>
                <c:pt idx="0">
                  <c:v>CA autres mois</c:v>
                </c:pt>
              </c:strCache>
            </c:strRef>
          </c:tx>
          <c:spPr>
            <a:solidFill>
              <a:srgbClr val="7a1e2c"/>
            </a:solidFill>
            <a:ln w="0">
              <a:solidFill>
                <a:srgbClr val="7a1e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DASHBOARD!$L$53:$L$64</c:f>
              <c:numCache>
                <c:formatCode>#,##0;\(#,##0\);\-</c:formatCode>
                <c:ptCount val="12"/>
                <c:pt idx="0">
                  <c:v>6460000</c:v>
                </c:pt>
                <c:pt idx="1">
                  <c:v>6862000</c:v>
                </c:pt>
                <c:pt idx="2">
                  <c:v>7530000</c:v>
                </c:pt>
                <c:pt idx="3">
                  <c:v>7139000</c:v>
                </c:pt>
                <c:pt idx="4">
                  <c:v>7506000</c:v>
                </c:pt>
                <c:pt idx="5">
                  <c:v>7804000</c:v>
                </c:pt>
                <c:pt idx="6">
                  <c:v>7378000</c:v>
                </c:pt>
                <c:pt idx="7">
                  <c:v>5968000</c:v>
                </c:pt>
                <c:pt idx="8">
                  <c:v>7347000</c:v>
                </c:pt>
                <c:pt idx="9">
                  <c:v>7894000</c:v>
                </c:pt>
                <c:pt idx="10">
                  <c:v>7867000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DASHBOARD!M52</c:f>
              <c:strCache>
                <c:ptCount val="1"/>
                <c:pt idx="0">
                  <c:v>CA mois choisi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DASHBOARD!$M$53:$M$64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8220000</c:v>
                </c:pt>
              </c:numCache>
            </c:numRef>
          </c:val>
        </c:ser>
        <c:gapWidth val="60"/>
        <c:overlap val="100"/>
        <c:axId val="49895438"/>
        <c:axId val="81749371"/>
      </c:barChart>
      <c:catAx>
        <c:axId val="49895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49371"/>
        <c:crosses val="autoZero"/>
        <c:auto val="1"/>
        <c:lblAlgn val="ctr"/>
        <c:lblOffset val="100"/>
        <c:noMultiLvlLbl val="0"/>
      </c:catAx>
      <c:valAx>
        <c:axId val="81749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954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Résultat net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DASHBOARD!D52</c:f>
              <c:strCache>
                <c:ptCount val="1"/>
                <c:pt idx="0">
                  <c:v>Résultat net</c:v>
                </c:pt>
              </c:strCache>
            </c:strRef>
          </c:tx>
          <c:spPr>
            <a:solidFill>
              <a:srgbClr val="7a1e2c"/>
            </a:solidFill>
            <a:ln w="28080">
              <a:solidFill>
                <a:srgbClr val="7a1e2c"/>
              </a:solidFill>
              <a:round/>
            </a:ln>
          </c:spPr>
          <c:marker>
            <c:symbol val="circle"/>
            <c:size val="6"/>
            <c:spPr>
              <a:solidFill>
                <a:srgbClr val="7a1e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DASHBOARD!$D$53:$D$64</c:f>
              <c:numCache>
                <c:formatCode>#,##0;\(#,##0\);\-</c:formatCode>
                <c:ptCount val="12"/>
                <c:pt idx="0">
                  <c:v>374800</c:v>
                </c:pt>
                <c:pt idx="1">
                  <c:v>738200</c:v>
                </c:pt>
                <c:pt idx="2">
                  <c:v>794500</c:v>
                </c:pt>
                <c:pt idx="3">
                  <c:v>628300</c:v>
                </c:pt>
                <c:pt idx="4">
                  <c:v>835000</c:v>
                </c:pt>
                <c:pt idx="5">
                  <c:v>536800</c:v>
                </c:pt>
                <c:pt idx="6">
                  <c:v>820200</c:v>
                </c:pt>
                <c:pt idx="7">
                  <c:v>213300</c:v>
                </c:pt>
                <c:pt idx="8">
                  <c:v>680700</c:v>
                </c:pt>
                <c:pt idx="9">
                  <c:v>1067400</c:v>
                </c:pt>
                <c:pt idx="10">
                  <c:v>850000</c:v>
                </c:pt>
                <c:pt idx="11">
                  <c:v>871000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327596"/>
        <c:axId val="93385418"/>
      </c:lineChart>
      <c:catAx>
        <c:axId val="13327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85418"/>
        <c:crosses val="autoZero"/>
        <c:auto val="1"/>
        <c:lblAlgn val="ctr"/>
        <c:lblOffset val="100"/>
        <c:noMultiLvlLbl val="0"/>
      </c:catAx>
      <c:valAx>
        <c:axId val="93385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27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Valeur ajoutée mensuelle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DASHBOARD!E52</c:f>
              <c:strCache>
                <c:ptCount val="1"/>
                <c:pt idx="0">
                  <c:v>Valeur ajoutée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DASHBOARD!$E$53:$E$64</c:f>
              <c:numCache>
                <c:formatCode>#,##0;\(#,##0\);\-</c:formatCode>
                <c:ptCount val="12"/>
                <c:pt idx="0">
                  <c:v>2759000</c:v>
                </c:pt>
                <c:pt idx="1">
                  <c:v>3165000</c:v>
                </c:pt>
                <c:pt idx="2">
                  <c:v>3278000</c:v>
                </c:pt>
                <c:pt idx="3">
                  <c:v>3049000</c:v>
                </c:pt>
                <c:pt idx="4">
                  <c:v>3357000</c:v>
                </c:pt>
                <c:pt idx="5">
                  <c:v>3082000</c:v>
                </c:pt>
                <c:pt idx="6">
                  <c:v>3302000</c:v>
                </c:pt>
                <c:pt idx="7">
                  <c:v>2609000</c:v>
                </c:pt>
                <c:pt idx="8">
                  <c:v>3157000</c:v>
                </c:pt>
                <c:pt idx="9">
                  <c:v>3681000</c:v>
                </c:pt>
                <c:pt idx="10">
                  <c:v>3405000</c:v>
                </c:pt>
                <c:pt idx="11">
                  <c:v>3662000</c:v>
                </c:pt>
              </c:numCache>
            </c:numRef>
          </c:val>
        </c:ser>
        <c:gapWidth val="60"/>
        <c:overlap val="0"/>
        <c:axId val="37959704"/>
        <c:axId val="29181593"/>
      </c:barChart>
      <c:catAx>
        <c:axId val="3795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81593"/>
        <c:crosses val="autoZero"/>
        <c:auto val="1"/>
        <c:lblAlgn val="ctr"/>
        <c:lblOffset val="100"/>
        <c:noMultiLvlLbl val="0"/>
      </c:catAx>
      <c:valAx>
        <c:axId val="29181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59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Résultat d'exploitation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DASHBOARD!F52</c:f>
              <c:strCache>
                <c:ptCount val="1"/>
                <c:pt idx="0">
                  <c:v>REX</c:v>
                </c:pt>
              </c:strCache>
            </c:strRef>
          </c:tx>
          <c:spPr>
            <a:solidFill>
              <a:srgbClr val="c9a54c"/>
            </a:solidFill>
            <a:ln w="28080">
              <a:solidFill>
                <a:srgbClr val="c9a54c"/>
              </a:solidFill>
              <a:round/>
            </a:ln>
          </c:spPr>
          <c:marker>
            <c:symbol val="circle"/>
            <c:size val="6"/>
            <c:spPr>
              <a:solidFill>
                <a:srgbClr val="c9a54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DASHBOARD!$F$53:$F$64</c:f>
              <c:numCache>
                <c:formatCode>#,##0;\(#,##0\);\-</c:formatCode>
                <c:ptCount val="12"/>
                <c:pt idx="0">
                  <c:v>547500</c:v>
                </c:pt>
                <c:pt idx="1">
                  <c:v>946500</c:v>
                </c:pt>
                <c:pt idx="2">
                  <c:v>1051500</c:v>
                </c:pt>
                <c:pt idx="3">
                  <c:v>815500</c:v>
                </c:pt>
                <c:pt idx="4">
                  <c:v>1101500</c:v>
                </c:pt>
                <c:pt idx="5">
                  <c:v>758500</c:v>
                </c:pt>
                <c:pt idx="6">
                  <c:v>1031500</c:v>
                </c:pt>
                <c:pt idx="7">
                  <c:v>330500</c:v>
                </c:pt>
                <c:pt idx="8">
                  <c:v>871500</c:v>
                </c:pt>
                <c:pt idx="9">
                  <c:v>1387500</c:v>
                </c:pt>
                <c:pt idx="10">
                  <c:v>1112500</c:v>
                </c:pt>
                <c:pt idx="11">
                  <c:v>1137500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581422"/>
        <c:axId val="8598822"/>
      </c:lineChart>
      <c:catAx>
        <c:axId val="27581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8822"/>
        <c:crosses val="autoZero"/>
        <c:auto val="1"/>
        <c:lblAlgn val="ctr"/>
        <c:lblOffset val="100"/>
        <c:noMultiLvlLbl val="0"/>
      </c:catAx>
      <c:valAx>
        <c:axId val="8598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814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10</xdr:col>
      <xdr:colOff>446040</xdr:colOff>
      <xdr:row>25</xdr:row>
      <xdr:rowOff>21960</xdr:rowOff>
    </xdr:to>
    <xdr:graphicFrame>
      <xdr:nvGraphicFramePr>
        <xdr:cNvPr id="0" name="Chart 1"/>
        <xdr:cNvGraphicFramePr/>
      </xdr:nvGraphicFramePr>
      <xdr:xfrm>
        <a:off x="141120" y="2209680"/>
        <a:ext cx="590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20</xdr:col>
      <xdr:colOff>446040</xdr:colOff>
      <xdr:row>25</xdr:row>
      <xdr:rowOff>21960</xdr:rowOff>
    </xdr:to>
    <xdr:graphicFrame>
      <xdr:nvGraphicFramePr>
        <xdr:cNvPr id="1" name="Chart 2"/>
        <xdr:cNvGraphicFramePr/>
      </xdr:nvGraphicFramePr>
      <xdr:xfrm>
        <a:off x="6205320" y="2209680"/>
        <a:ext cx="590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446040</xdr:colOff>
      <xdr:row>43</xdr:row>
      <xdr:rowOff>21960</xdr:rowOff>
    </xdr:to>
    <xdr:graphicFrame>
      <xdr:nvGraphicFramePr>
        <xdr:cNvPr id="2" name="Chart 3"/>
        <xdr:cNvGraphicFramePr/>
      </xdr:nvGraphicFramePr>
      <xdr:xfrm>
        <a:off x="141120" y="5638680"/>
        <a:ext cx="590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20</xdr:col>
      <xdr:colOff>446040</xdr:colOff>
      <xdr:row>43</xdr:row>
      <xdr:rowOff>21960</xdr:rowOff>
    </xdr:to>
    <xdr:graphicFrame>
      <xdr:nvGraphicFramePr>
        <xdr:cNvPr id="3" name="Chart 4"/>
        <xdr:cNvGraphicFramePr/>
      </xdr:nvGraphicFramePr>
      <xdr:xfrm>
        <a:off x="6205320" y="5638680"/>
        <a:ext cx="590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1E2C"/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8"/>
    <col collapsed="false" customWidth="true" hidden="false" outlineLevel="0" max="4" min="4" style="0" width="22"/>
    <col collapsed="false" customWidth="true" hidden="false" outlineLevel="0" max="5" min="5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33.75" hidden="false" customHeight="true" outlineLevel="0" collapsed="false">
      <c r="A2" s="1"/>
      <c r="B2" s="2" t="s">
        <v>0</v>
      </c>
      <c r="C2" s="1"/>
      <c r="D2" s="1"/>
      <c r="E2" s="1"/>
    </row>
    <row r="3" customFormat="false" ht="15" hidden="false" customHeight="false" outlineLevel="0" collapsed="false">
      <c r="A3" s="3"/>
      <c r="B3" s="4" t="s">
        <v>1</v>
      </c>
      <c r="C3" s="3"/>
      <c r="D3" s="3"/>
      <c r="E3" s="3"/>
    </row>
    <row r="5" customFormat="false" ht="15" hidden="false" customHeight="false" outlineLevel="0" collapsed="false">
      <c r="B5" s="5" t="s">
        <v>2</v>
      </c>
      <c r="C5" s="6"/>
      <c r="D5" s="6"/>
    </row>
    <row r="6" customFormat="false" ht="15" hidden="false" customHeight="false" outlineLevel="0" collapsed="false">
      <c r="B6" s="7" t="s">
        <v>3</v>
      </c>
      <c r="C6" s="8" t="s">
        <v>4</v>
      </c>
    </row>
    <row r="7" customFormat="false" ht="15" hidden="false" customHeight="false" outlineLevel="0" collapsed="false">
      <c r="B7" s="7" t="s">
        <v>5</v>
      </c>
      <c r="C7" s="8" t="s">
        <v>6</v>
      </c>
    </row>
    <row r="8" customFormat="false" ht="15" hidden="false" customHeight="false" outlineLevel="0" collapsed="false">
      <c r="B8" s="7" t="s">
        <v>7</v>
      </c>
      <c r="C8" s="8" t="s">
        <v>8</v>
      </c>
    </row>
    <row r="9" customFormat="false" ht="15" hidden="false" customHeight="false" outlineLevel="0" collapsed="false">
      <c r="B9" s="7" t="s">
        <v>9</v>
      </c>
      <c r="C9" s="8" t="s">
        <v>10</v>
      </c>
    </row>
    <row r="10" customFormat="false" ht="15" hidden="false" customHeight="false" outlineLevel="0" collapsed="false">
      <c r="B10" s="7" t="s">
        <v>11</v>
      </c>
      <c r="C10" s="8" t="s">
        <v>12</v>
      </c>
    </row>
    <row r="12" customFormat="false" ht="15" hidden="false" customHeight="false" outlineLevel="0" collapsed="false">
      <c r="B12" s="5" t="s">
        <v>13</v>
      </c>
      <c r="C12" s="6"/>
      <c r="D12" s="6"/>
    </row>
    <row r="13" customFormat="false" ht="15" hidden="false" customHeight="false" outlineLevel="0" collapsed="false">
      <c r="B13" s="9" t="s">
        <v>14</v>
      </c>
      <c r="C13" s="10" t="s">
        <v>15</v>
      </c>
    </row>
    <row r="14" customFormat="false" ht="15" hidden="false" customHeight="false" outlineLevel="0" collapsed="false">
      <c r="B14" s="9" t="s">
        <v>16</v>
      </c>
      <c r="C14" s="10" t="s">
        <v>17</v>
      </c>
    </row>
    <row r="15" customFormat="false" ht="15" hidden="false" customHeight="false" outlineLevel="0" collapsed="false">
      <c r="B15" s="9" t="s">
        <v>18</v>
      </c>
      <c r="C15" s="10" t="s">
        <v>19</v>
      </c>
    </row>
    <row r="16" customFormat="false" ht="15" hidden="false" customHeight="false" outlineLevel="0" collapsed="false">
      <c r="B16" s="9" t="s">
        <v>20</v>
      </c>
      <c r="C16" s="10" t="s">
        <v>21</v>
      </c>
    </row>
    <row r="17" customFormat="false" ht="15" hidden="false" customHeight="false" outlineLevel="0" collapsed="false">
      <c r="B17" s="9" t="s">
        <v>22</v>
      </c>
      <c r="C17" s="10" t="s">
        <v>23</v>
      </c>
    </row>
    <row r="18" customFormat="false" ht="15" hidden="false" customHeight="false" outlineLevel="0" collapsed="false">
      <c r="B18" s="9" t="s">
        <v>24</v>
      </c>
      <c r="C18" s="10" t="s">
        <v>25</v>
      </c>
    </row>
    <row r="20" customFormat="false" ht="15" hidden="false" customHeight="false" outlineLevel="0" collapsed="false">
      <c r="B20" s="5" t="s">
        <v>26</v>
      </c>
      <c r="C20" s="6"/>
      <c r="D20" s="6"/>
    </row>
    <row r="21" customFormat="false" ht="15" hidden="false" customHeight="false" outlineLevel="0" collapsed="false">
      <c r="B21" s="11" t="s">
        <v>27</v>
      </c>
    </row>
    <row r="22" customFormat="false" ht="15" hidden="false" customHeight="false" outlineLevel="0" collapsed="false">
      <c r="B22" s="11" t="s">
        <v>28</v>
      </c>
    </row>
    <row r="23" customFormat="false" ht="15" hidden="false" customHeight="false" outlineLevel="0" collapsed="false">
      <c r="B23" s="11" t="s">
        <v>29</v>
      </c>
    </row>
    <row r="24" customFormat="false" ht="15" hidden="false" customHeight="false" outlineLevel="0" collapsed="false">
      <c r="B24" s="11" t="s">
        <v>30</v>
      </c>
    </row>
    <row r="25" customFormat="false" ht="15" hidden="false" customHeight="false" outlineLevel="0" collapsed="false">
      <c r="B25" s="11" t="s">
        <v>31</v>
      </c>
    </row>
    <row r="26" customFormat="false" ht="15" hidden="false" customHeight="false" outlineLevel="0" collapsed="false">
      <c r="B26" s="11" t="s">
        <v>32</v>
      </c>
    </row>
    <row r="27" customFormat="false" ht="15" hidden="false" customHeight="false" outlineLevel="0" collapsed="false">
      <c r="B27" s="11" t="s">
        <v>33</v>
      </c>
    </row>
    <row r="29" customFormat="false" ht="15" hidden="false" customHeight="false" outlineLevel="0" collapsed="false">
      <c r="B29" s="5" t="s">
        <v>34</v>
      </c>
      <c r="C29" s="6"/>
      <c r="D29" s="6"/>
    </row>
    <row r="30" customFormat="false" ht="15" hidden="false" customHeight="false" outlineLevel="0" collapsed="false">
      <c r="B30" s="7" t="s">
        <v>35</v>
      </c>
      <c r="C30" s="12" t="str">
        <f aca="false">IF(SUMPRODUCT(ABS(Balance!E77:Q77))&lt;1,"✔ OK","✖ Écart à vérifier")</f>
        <v>✔ OK</v>
      </c>
    </row>
    <row r="31" customFormat="false" ht="15" hidden="false" customHeight="false" outlineLevel="0" collapsed="false">
      <c r="B31" s="7" t="s">
        <v>36</v>
      </c>
      <c r="C31" s="12" t="str">
        <f aca="false">IF(SUMPRODUCT(ABS(CPC!D60:P60))&lt;1,"✔ OK","✖ Écart à vérifier")</f>
        <v>✔ OK</v>
      </c>
    </row>
    <row r="32" customFormat="false" ht="15" hidden="false" customHeight="false" outlineLevel="0" collapsed="false">
      <c r="B32" s="7" t="s">
        <v>37</v>
      </c>
      <c r="C32" s="12" t="str">
        <f aca="false">IF(SUMPRODUCT(ABS(ESG!D43:P43))&lt;1,"✔ OK","✖ Écart à vérifier")</f>
        <v>✔ OK</v>
      </c>
    </row>
    <row r="34" customFormat="false" ht="15" hidden="false" customHeight="false" outlineLevel="0" collapsed="false">
      <c r="B34" s="5" t="s">
        <v>38</v>
      </c>
      <c r="C34" s="6"/>
      <c r="D34" s="6"/>
    </row>
    <row r="35" customFormat="false" ht="15" hidden="false" customHeight="false" outlineLevel="0" collapsed="false">
      <c r="B35" s="13" t="s">
        <v>39</v>
      </c>
      <c r="C35" s="10" t="s">
        <v>40</v>
      </c>
    </row>
    <row r="36" customFormat="false" ht="15" hidden="false" customHeight="false" outlineLevel="0" collapsed="false">
      <c r="B36" s="10" t="s">
        <v>39</v>
      </c>
      <c r="C36" s="10" t="s">
        <v>41</v>
      </c>
    </row>
    <row r="37" customFormat="false" ht="15" hidden="false" customHeight="false" outlineLevel="0" collapsed="false">
      <c r="B37" s="14" t="s">
        <v>42</v>
      </c>
      <c r="C37" s="10" t="s">
        <v>43</v>
      </c>
    </row>
    <row r="39" customFormat="false" ht="25.5" hidden="false" customHeight="true" outlineLevel="0" collapsed="false">
      <c r="B39" s="15" t="s">
        <v>44</v>
      </c>
      <c r="C39" s="15"/>
      <c r="D39" s="15"/>
    </row>
  </sheetData>
  <mergeCells count="1">
    <mergeCell ref="B39:D39"/>
  </mergeCells>
  <conditionalFormatting sqref="C30">
    <cfRule type="expression" priority="2" aboveAverage="0" equalAverage="0" bottom="0" percent="0" rank="0" text="" dxfId="0">
      <formula>LEFT(C30,1)="✖"</formula>
    </cfRule>
  </conditionalFormatting>
  <conditionalFormatting sqref="C31">
    <cfRule type="expression" priority="3" aboveAverage="0" equalAverage="0" bottom="0" percent="0" rank="0" text="" dxfId="0">
      <formula>LEFT(C31,1)="✖"</formula>
    </cfRule>
  </conditionalFormatting>
  <conditionalFormatting sqref="C32">
    <cfRule type="expression" priority="4" aboveAverage="0" equalAverage="0" bottom="0" percent="0" rank="0" text="" dxfId="0">
      <formula>LEFT(C32,1)="✖"</formula>
    </cfRule>
  </conditionalFormatting>
  <hyperlinks>
    <hyperlink ref="B13" location="Balance!A1" display="→ Balance"/>
    <hyperlink ref="B14" location="CPC!A1" display="→ CPC"/>
    <hyperlink ref="B15" location="ESG!A1" display="→ ESG"/>
    <hyperlink ref="B16" location="Reporting!A1" display="→ Reporting"/>
    <hyperlink ref="B17" location="DASHBOARD!A1" display="→ DASHBOARD"/>
    <hyperlink ref="B18" location="Lecture!A1" display="→ Lectu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4C"/>
    <pageSetUpPr fitToPage="true"/>
  </sheetPr>
  <dimension ref="A1:R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7"/>
    <col collapsed="false" customWidth="true" hidden="false" outlineLevel="0" max="4" min="4" style="0" width="6"/>
    <col collapsed="false" customWidth="true" hidden="false" outlineLevel="0" max="17" min="5" style="0" width="13"/>
    <col collapsed="false" customWidth="true" hidden="false" outlineLevel="0" max="18" min="18" style="0" width="15"/>
  </cols>
  <sheetData>
    <row r="1" customFormat="false" ht="30" hidden="false" customHeight="true" outlineLevel="0" collapsed="false">
      <c r="A1" s="16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7" t="s">
        <v>46</v>
      </c>
    </row>
    <row r="2" customFormat="false" ht="15" hidden="false" customHeight="false" outlineLevel="0" collapsed="false">
      <c r="A2" s="18" t="s">
        <v>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" hidden="false" customHeight="false" outlineLevel="0" collapsed="false">
      <c r="A3" s="19" t="s">
        <v>48</v>
      </c>
      <c r="B3" s="20" t="s">
        <v>49</v>
      </c>
    </row>
    <row r="5" customFormat="false" ht="30" hidden="false" customHeight="true" outlineLevel="0" collapsed="false">
      <c r="A5" s="21" t="s">
        <v>50</v>
      </c>
      <c r="B5" s="21" t="s">
        <v>51</v>
      </c>
      <c r="C5" s="21" t="s">
        <v>52</v>
      </c>
      <c r="D5" s="21" t="s">
        <v>53</v>
      </c>
      <c r="E5" s="21" t="s">
        <v>54</v>
      </c>
      <c r="F5" s="21" t="s">
        <v>55</v>
      </c>
      <c r="G5" s="21" t="s">
        <v>56</v>
      </c>
      <c r="H5" s="21" t="s">
        <v>57</v>
      </c>
      <c r="I5" s="21" t="s">
        <v>58</v>
      </c>
      <c r="J5" s="21" t="s">
        <v>59</v>
      </c>
      <c r="K5" s="21" t="s">
        <v>60</v>
      </c>
      <c r="L5" s="21" t="s">
        <v>61</v>
      </c>
      <c r="M5" s="21" t="s">
        <v>62</v>
      </c>
      <c r="N5" s="21" t="s">
        <v>63</v>
      </c>
      <c r="O5" s="21" t="s">
        <v>64</v>
      </c>
      <c r="P5" s="21" t="s">
        <v>65</v>
      </c>
      <c r="Q5" s="21" t="s">
        <v>42</v>
      </c>
      <c r="R5" s="21" t="s">
        <v>66</v>
      </c>
    </row>
    <row r="6" customFormat="false" ht="15" hidden="false" customHeight="false" outlineLevel="0" collapsed="false">
      <c r="A6" s="22"/>
      <c r="B6" s="23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customFormat="false" ht="15" hidden="false" customHeight="false" outlineLevel="0" collapsed="false">
      <c r="A7" s="24" t="s">
        <v>68</v>
      </c>
      <c r="B7" s="10" t="s">
        <v>69</v>
      </c>
      <c r="C7" s="25" t="n">
        <f aca="false">VALUE(LEFT(A7,1))</f>
        <v>1</v>
      </c>
      <c r="D7" s="24" t="s">
        <v>70</v>
      </c>
      <c r="E7" s="26" t="n">
        <v>20000000</v>
      </c>
      <c r="F7" s="26" t="n">
        <v>20000000</v>
      </c>
      <c r="G7" s="26" t="n">
        <v>20000000</v>
      </c>
      <c r="H7" s="26" t="n">
        <v>20000000</v>
      </c>
      <c r="I7" s="26" t="n">
        <v>20000000</v>
      </c>
      <c r="J7" s="26" t="n">
        <v>20000000</v>
      </c>
      <c r="K7" s="26" t="n">
        <v>20000000</v>
      </c>
      <c r="L7" s="26" t="n">
        <v>20000000</v>
      </c>
      <c r="M7" s="26" t="n">
        <v>20000000</v>
      </c>
      <c r="N7" s="26" t="n">
        <v>20000000</v>
      </c>
      <c r="O7" s="26" t="n">
        <v>20000000</v>
      </c>
      <c r="P7" s="26" t="n">
        <v>20000000</v>
      </c>
      <c r="Q7" s="26" t="n">
        <v>20000000</v>
      </c>
      <c r="R7" s="27" t="n">
        <f aca="false">Q7</f>
        <v>20000000</v>
      </c>
    </row>
    <row r="8" customFormat="false" ht="15" hidden="false" customHeight="false" outlineLevel="0" collapsed="false">
      <c r="A8" s="24" t="s">
        <v>71</v>
      </c>
      <c r="B8" s="10" t="s">
        <v>72</v>
      </c>
      <c r="C8" s="25" t="n">
        <f aca="false">VALUE(LEFT(A8,1))</f>
        <v>1</v>
      </c>
      <c r="D8" s="24" t="s">
        <v>70</v>
      </c>
      <c r="E8" s="26" t="n">
        <v>2000000</v>
      </c>
      <c r="F8" s="26" t="n">
        <v>2000000</v>
      </c>
      <c r="G8" s="26" t="n">
        <v>2000000</v>
      </c>
      <c r="H8" s="26" t="n">
        <v>2000000</v>
      </c>
      <c r="I8" s="26" t="n">
        <v>2000000</v>
      </c>
      <c r="J8" s="26" t="n">
        <v>2000000</v>
      </c>
      <c r="K8" s="26" t="n">
        <v>2000000</v>
      </c>
      <c r="L8" s="26" t="n">
        <v>2000000</v>
      </c>
      <c r="M8" s="26" t="n">
        <v>2000000</v>
      </c>
      <c r="N8" s="26" t="n">
        <v>2000000</v>
      </c>
      <c r="O8" s="26" t="n">
        <v>2000000</v>
      </c>
      <c r="P8" s="26" t="n">
        <v>2000000</v>
      </c>
      <c r="Q8" s="26" t="n">
        <v>2000000</v>
      </c>
      <c r="R8" s="27" t="n">
        <f aca="false">Q8</f>
        <v>2000000</v>
      </c>
    </row>
    <row r="9" customFormat="false" ht="15" hidden="false" customHeight="false" outlineLevel="0" collapsed="false">
      <c r="A9" s="24" t="s">
        <v>73</v>
      </c>
      <c r="B9" s="10" t="s">
        <v>74</v>
      </c>
      <c r="C9" s="25" t="n">
        <f aca="false">VALUE(LEFT(A9,1))</f>
        <v>1</v>
      </c>
      <c r="D9" s="24" t="s">
        <v>70</v>
      </c>
      <c r="E9" s="26" t="n">
        <v>10000000</v>
      </c>
      <c r="F9" s="26" t="n">
        <v>10000000</v>
      </c>
      <c r="G9" s="26" t="n">
        <v>10000000</v>
      </c>
      <c r="H9" s="26" t="n">
        <v>10000000</v>
      </c>
      <c r="I9" s="26" t="n">
        <v>10000000</v>
      </c>
      <c r="J9" s="26" t="n">
        <v>10000000</v>
      </c>
      <c r="K9" s="26" t="n">
        <v>10000000</v>
      </c>
      <c r="L9" s="26" t="n">
        <v>10000000</v>
      </c>
      <c r="M9" s="26" t="n">
        <v>10000000</v>
      </c>
      <c r="N9" s="26" t="n">
        <v>10000000</v>
      </c>
      <c r="O9" s="26" t="n">
        <v>10000000</v>
      </c>
      <c r="P9" s="26" t="n">
        <v>10000000</v>
      </c>
      <c r="Q9" s="26" t="n">
        <v>10000000</v>
      </c>
      <c r="R9" s="27" t="n">
        <f aca="false">Q9</f>
        <v>10000000</v>
      </c>
    </row>
    <row r="10" customFormat="false" ht="15" hidden="false" customHeight="false" outlineLevel="0" collapsed="false">
      <c r="A10" s="24" t="s">
        <v>75</v>
      </c>
      <c r="B10" s="10" t="s">
        <v>76</v>
      </c>
      <c r="C10" s="25" t="n">
        <f aca="false">VALUE(LEFT(A10,1))</f>
        <v>1</v>
      </c>
      <c r="D10" s="24" t="s">
        <v>70</v>
      </c>
      <c r="E10" s="26" t="n">
        <v>24000000</v>
      </c>
      <c r="F10" s="26" t="n">
        <v>23700000</v>
      </c>
      <c r="G10" s="26" t="n">
        <v>23400000</v>
      </c>
      <c r="H10" s="26" t="n">
        <v>23100000</v>
      </c>
      <c r="I10" s="26" t="n">
        <v>22800000</v>
      </c>
      <c r="J10" s="26" t="n">
        <v>22500000</v>
      </c>
      <c r="K10" s="26" t="n">
        <v>22200000</v>
      </c>
      <c r="L10" s="26" t="n">
        <v>21900000</v>
      </c>
      <c r="M10" s="26" t="n">
        <v>21600000</v>
      </c>
      <c r="N10" s="26" t="n">
        <v>21300000</v>
      </c>
      <c r="O10" s="26" t="n">
        <v>21000000</v>
      </c>
      <c r="P10" s="26" t="n">
        <v>20700000</v>
      </c>
      <c r="Q10" s="26" t="n">
        <v>20400000</v>
      </c>
      <c r="R10" s="27" t="n">
        <f aca="false">Q10</f>
        <v>20400000</v>
      </c>
    </row>
    <row r="11" customFormat="false" ht="15" hidden="false" customHeight="false" outlineLevel="0" collapsed="false">
      <c r="A11" s="22"/>
      <c r="B11" s="23" t="s">
        <v>77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customFormat="false" ht="15" hidden="false" customHeight="false" outlineLevel="0" collapsed="false">
      <c r="A12" s="24" t="s">
        <v>78</v>
      </c>
      <c r="B12" s="10" t="s">
        <v>79</v>
      </c>
      <c r="C12" s="25" t="n">
        <f aca="false">VALUE(LEFT(A12,1))</f>
        <v>2</v>
      </c>
      <c r="D12" s="24" t="s">
        <v>80</v>
      </c>
      <c r="E12" s="26" t="n">
        <v>15000000</v>
      </c>
      <c r="F12" s="26" t="n">
        <v>15000000</v>
      </c>
      <c r="G12" s="26" t="n">
        <v>15000000</v>
      </c>
      <c r="H12" s="26" t="n">
        <v>15000000</v>
      </c>
      <c r="I12" s="26" t="n">
        <v>15000000</v>
      </c>
      <c r="J12" s="26" t="n">
        <v>15000000</v>
      </c>
      <c r="K12" s="26" t="n">
        <v>15000000</v>
      </c>
      <c r="L12" s="26" t="n">
        <v>15000000</v>
      </c>
      <c r="M12" s="26" t="n">
        <v>15000000</v>
      </c>
      <c r="N12" s="26" t="n">
        <v>15000000</v>
      </c>
      <c r="O12" s="26" t="n">
        <v>15000000</v>
      </c>
      <c r="P12" s="26" t="n">
        <v>15000000</v>
      </c>
      <c r="Q12" s="26" t="n">
        <v>15000000</v>
      </c>
      <c r="R12" s="27" t="n">
        <f aca="false">Q12</f>
        <v>15000000</v>
      </c>
    </row>
    <row r="13" customFormat="false" ht="15" hidden="false" customHeight="false" outlineLevel="0" collapsed="false">
      <c r="A13" s="24" t="s">
        <v>81</v>
      </c>
      <c r="B13" s="10" t="s">
        <v>82</v>
      </c>
      <c r="C13" s="25" t="n">
        <f aca="false">VALUE(LEFT(A13,1))</f>
        <v>2</v>
      </c>
      <c r="D13" s="24" t="s">
        <v>80</v>
      </c>
      <c r="E13" s="26" t="n">
        <v>32000000</v>
      </c>
      <c r="F13" s="26" t="n">
        <v>32000000</v>
      </c>
      <c r="G13" s="26" t="n">
        <v>32000000</v>
      </c>
      <c r="H13" s="26" t="n">
        <v>32120000</v>
      </c>
      <c r="I13" s="26" t="n">
        <v>33920000</v>
      </c>
      <c r="J13" s="26" t="n">
        <v>33920000</v>
      </c>
      <c r="K13" s="26" t="n">
        <v>33920000</v>
      </c>
      <c r="L13" s="26" t="n">
        <v>33920000</v>
      </c>
      <c r="M13" s="26" t="n">
        <v>33920000</v>
      </c>
      <c r="N13" s="26" t="n">
        <v>34015000</v>
      </c>
      <c r="O13" s="26" t="n">
        <v>34015000</v>
      </c>
      <c r="P13" s="26" t="n">
        <v>34015000</v>
      </c>
      <c r="Q13" s="26" t="n">
        <v>34015000</v>
      </c>
      <c r="R13" s="27" t="n">
        <f aca="false">Q13</f>
        <v>34015000</v>
      </c>
    </row>
    <row r="14" customFormat="false" ht="15" hidden="false" customHeight="false" outlineLevel="0" collapsed="false">
      <c r="A14" s="24" t="s">
        <v>83</v>
      </c>
      <c r="B14" s="10" t="s">
        <v>84</v>
      </c>
      <c r="C14" s="25" t="n">
        <f aca="false">VALUE(LEFT(A14,1))</f>
        <v>2</v>
      </c>
      <c r="D14" s="24" t="s">
        <v>80</v>
      </c>
      <c r="E14" s="26" t="n">
        <v>1600000</v>
      </c>
      <c r="F14" s="26" t="n">
        <v>1600000</v>
      </c>
      <c r="G14" s="26" t="n">
        <v>1600000</v>
      </c>
      <c r="H14" s="26" t="n">
        <v>1600000</v>
      </c>
      <c r="I14" s="26" t="n">
        <v>1600000</v>
      </c>
      <c r="J14" s="26" t="n">
        <v>1600000</v>
      </c>
      <c r="K14" s="26" t="n">
        <v>1600000</v>
      </c>
      <c r="L14" s="26" t="n">
        <v>1600000</v>
      </c>
      <c r="M14" s="26" t="n">
        <v>1600000</v>
      </c>
      <c r="N14" s="26" t="n">
        <v>1600000</v>
      </c>
      <c r="O14" s="26" t="n">
        <v>1200000</v>
      </c>
      <c r="P14" s="26" t="n">
        <v>1200000</v>
      </c>
      <c r="Q14" s="26" t="n">
        <v>1200000</v>
      </c>
      <c r="R14" s="27" t="n">
        <f aca="false">Q14</f>
        <v>1200000</v>
      </c>
    </row>
    <row r="15" customFormat="false" ht="15" hidden="false" customHeight="false" outlineLevel="0" collapsed="false">
      <c r="A15" s="24" t="s">
        <v>85</v>
      </c>
      <c r="B15" s="10" t="s">
        <v>86</v>
      </c>
      <c r="C15" s="25" t="n">
        <f aca="false">VALUE(LEFT(A15,1))</f>
        <v>2</v>
      </c>
      <c r="D15" s="24" t="s">
        <v>80</v>
      </c>
      <c r="E15" s="26" t="n">
        <v>1400000</v>
      </c>
      <c r="F15" s="26" t="n">
        <v>1400000</v>
      </c>
      <c r="G15" s="26" t="n">
        <v>1400000</v>
      </c>
      <c r="H15" s="26" t="n">
        <v>1400000</v>
      </c>
      <c r="I15" s="26" t="n">
        <v>1400000</v>
      </c>
      <c r="J15" s="26" t="n">
        <v>1400000</v>
      </c>
      <c r="K15" s="26" t="n">
        <v>1400000</v>
      </c>
      <c r="L15" s="26" t="n">
        <v>1400000</v>
      </c>
      <c r="M15" s="26" t="n">
        <v>1400000</v>
      </c>
      <c r="N15" s="26" t="n">
        <v>1400000</v>
      </c>
      <c r="O15" s="26" t="n">
        <v>1400000</v>
      </c>
      <c r="P15" s="26" t="n">
        <v>1400000</v>
      </c>
      <c r="Q15" s="26" t="n">
        <v>1400000</v>
      </c>
      <c r="R15" s="27" t="n">
        <f aca="false">Q15</f>
        <v>1400000</v>
      </c>
    </row>
    <row r="16" customFormat="false" ht="15" hidden="false" customHeight="false" outlineLevel="0" collapsed="false">
      <c r="A16" s="24" t="s">
        <v>87</v>
      </c>
      <c r="B16" s="10" t="s">
        <v>88</v>
      </c>
      <c r="C16" s="25" t="n">
        <f aca="false">VALUE(LEFT(A16,1))</f>
        <v>2</v>
      </c>
      <c r="D16" s="24" t="s">
        <v>70</v>
      </c>
      <c r="E16" s="26" t="n">
        <v>4500000</v>
      </c>
      <c r="F16" s="26" t="n">
        <v>4562500</v>
      </c>
      <c r="G16" s="26" t="n">
        <v>4625000</v>
      </c>
      <c r="H16" s="26" t="n">
        <v>4687500</v>
      </c>
      <c r="I16" s="26" t="n">
        <v>4750000</v>
      </c>
      <c r="J16" s="26" t="n">
        <v>4812500</v>
      </c>
      <c r="K16" s="26" t="n">
        <v>4875000</v>
      </c>
      <c r="L16" s="26" t="n">
        <v>4937500</v>
      </c>
      <c r="M16" s="26" t="n">
        <v>5000000</v>
      </c>
      <c r="N16" s="26" t="n">
        <v>5062500</v>
      </c>
      <c r="O16" s="26" t="n">
        <v>5125000</v>
      </c>
      <c r="P16" s="26" t="n">
        <v>5187500</v>
      </c>
      <c r="Q16" s="26" t="n">
        <v>5250000</v>
      </c>
      <c r="R16" s="27" t="n">
        <f aca="false">Q16</f>
        <v>5250000</v>
      </c>
    </row>
    <row r="17" customFormat="false" ht="15" hidden="false" customHeight="false" outlineLevel="0" collapsed="false">
      <c r="A17" s="24" t="s">
        <v>89</v>
      </c>
      <c r="B17" s="10" t="s">
        <v>90</v>
      </c>
      <c r="C17" s="25" t="n">
        <f aca="false">VALUE(LEFT(A17,1))</f>
        <v>2</v>
      </c>
      <c r="D17" s="24" t="s">
        <v>70</v>
      </c>
      <c r="E17" s="26" t="n">
        <v>13000000</v>
      </c>
      <c r="F17" s="26" t="n">
        <v>13240000</v>
      </c>
      <c r="G17" s="26" t="n">
        <v>13480000</v>
      </c>
      <c r="H17" s="26" t="n">
        <v>13720000</v>
      </c>
      <c r="I17" s="26" t="n">
        <v>13960000</v>
      </c>
      <c r="J17" s="26" t="n">
        <v>14215000</v>
      </c>
      <c r="K17" s="26" t="n">
        <v>14470000</v>
      </c>
      <c r="L17" s="26" t="n">
        <v>14725000</v>
      </c>
      <c r="M17" s="26" t="n">
        <v>14980000</v>
      </c>
      <c r="N17" s="26" t="n">
        <v>15235000</v>
      </c>
      <c r="O17" s="26" t="n">
        <v>15490000</v>
      </c>
      <c r="P17" s="26" t="n">
        <v>15745000</v>
      </c>
      <c r="Q17" s="26" t="n">
        <v>16000000</v>
      </c>
      <c r="R17" s="27" t="n">
        <f aca="false">Q17</f>
        <v>16000000</v>
      </c>
    </row>
    <row r="18" customFormat="false" ht="15" hidden="false" customHeight="false" outlineLevel="0" collapsed="false">
      <c r="A18" s="24" t="s">
        <v>91</v>
      </c>
      <c r="B18" s="10" t="s">
        <v>92</v>
      </c>
      <c r="C18" s="25" t="n">
        <f aca="false">VALUE(LEFT(A18,1))</f>
        <v>2</v>
      </c>
      <c r="D18" s="24" t="s">
        <v>70</v>
      </c>
      <c r="E18" s="26" t="n">
        <v>800000</v>
      </c>
      <c r="F18" s="26" t="n">
        <v>830000</v>
      </c>
      <c r="G18" s="26" t="n">
        <v>860000</v>
      </c>
      <c r="H18" s="26" t="n">
        <v>890000</v>
      </c>
      <c r="I18" s="26" t="n">
        <v>920000</v>
      </c>
      <c r="J18" s="26" t="n">
        <v>950000</v>
      </c>
      <c r="K18" s="26" t="n">
        <v>980000</v>
      </c>
      <c r="L18" s="26" t="n">
        <v>1010000</v>
      </c>
      <c r="M18" s="26" t="n">
        <v>1040000</v>
      </c>
      <c r="N18" s="26" t="n">
        <v>1070000</v>
      </c>
      <c r="O18" s="26" t="n">
        <v>810000</v>
      </c>
      <c r="P18" s="26" t="n">
        <v>832000</v>
      </c>
      <c r="Q18" s="26" t="n">
        <v>854000</v>
      </c>
      <c r="R18" s="27" t="n">
        <f aca="false">Q18</f>
        <v>854000</v>
      </c>
    </row>
    <row r="19" customFormat="false" ht="15" hidden="false" customHeight="false" outlineLevel="0" collapsed="false">
      <c r="A19" s="24" t="s">
        <v>93</v>
      </c>
      <c r="B19" s="10" t="s">
        <v>94</v>
      </c>
      <c r="C19" s="25" t="n">
        <f aca="false">VALUE(LEFT(A19,1))</f>
        <v>2</v>
      </c>
      <c r="D19" s="24" t="s">
        <v>70</v>
      </c>
      <c r="E19" s="26" t="n">
        <v>600000</v>
      </c>
      <c r="F19" s="26" t="n">
        <v>650000</v>
      </c>
      <c r="G19" s="26" t="n">
        <v>700000</v>
      </c>
      <c r="H19" s="26" t="n">
        <v>750000</v>
      </c>
      <c r="I19" s="26" t="n">
        <v>800000</v>
      </c>
      <c r="J19" s="26" t="n">
        <v>850000</v>
      </c>
      <c r="K19" s="26" t="n">
        <v>900000</v>
      </c>
      <c r="L19" s="26" t="n">
        <v>950000</v>
      </c>
      <c r="M19" s="26" t="n">
        <v>1000000</v>
      </c>
      <c r="N19" s="26" t="n">
        <v>1050000</v>
      </c>
      <c r="O19" s="26" t="n">
        <v>1100000</v>
      </c>
      <c r="P19" s="26" t="n">
        <v>1150000</v>
      </c>
      <c r="Q19" s="26" t="n">
        <v>1200000</v>
      </c>
      <c r="R19" s="27" t="n">
        <f aca="false">Q19</f>
        <v>1200000</v>
      </c>
    </row>
    <row r="20" customFormat="false" ht="15" hidden="false" customHeight="false" outlineLevel="0" collapsed="false">
      <c r="A20" s="22"/>
      <c r="B20" s="23" t="s">
        <v>95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customFormat="false" ht="15" hidden="false" customHeight="false" outlineLevel="0" collapsed="false">
      <c r="A21" s="24" t="s">
        <v>96</v>
      </c>
      <c r="B21" s="10" t="s">
        <v>97</v>
      </c>
      <c r="C21" s="25" t="n">
        <f aca="false">VALUE(LEFT(A21,1))</f>
        <v>3</v>
      </c>
      <c r="D21" s="24" t="s">
        <v>80</v>
      </c>
      <c r="E21" s="26" t="n">
        <v>4500000</v>
      </c>
      <c r="F21" s="26" t="n">
        <v>4491000</v>
      </c>
      <c r="G21" s="26" t="n">
        <v>4366000</v>
      </c>
      <c r="H21" s="26" t="n">
        <v>4559000</v>
      </c>
      <c r="I21" s="26" t="n">
        <v>4515000</v>
      </c>
      <c r="J21" s="26" t="n">
        <v>4677000</v>
      </c>
      <c r="K21" s="26" t="n">
        <v>4667000</v>
      </c>
      <c r="L21" s="26" t="n">
        <v>4643000</v>
      </c>
      <c r="M21" s="26" t="n">
        <v>4598000</v>
      </c>
      <c r="N21" s="26" t="n">
        <v>4534000</v>
      </c>
      <c r="O21" s="26" t="n">
        <v>4300000</v>
      </c>
      <c r="P21" s="26" t="n">
        <v>4489000</v>
      </c>
      <c r="Q21" s="26" t="n">
        <v>4685000</v>
      </c>
      <c r="R21" s="27" t="n">
        <f aca="false">Q21</f>
        <v>4685000</v>
      </c>
    </row>
    <row r="22" customFormat="false" ht="15" hidden="false" customHeight="false" outlineLevel="0" collapsed="false">
      <c r="A22" s="24" t="s">
        <v>98</v>
      </c>
      <c r="B22" s="10" t="s">
        <v>99</v>
      </c>
      <c r="C22" s="25" t="n">
        <f aca="false">VALUE(LEFT(A22,1))</f>
        <v>3</v>
      </c>
      <c r="D22" s="24" t="s">
        <v>80</v>
      </c>
      <c r="E22" s="26" t="n">
        <v>9000000</v>
      </c>
      <c r="F22" s="26" t="n">
        <v>8891000</v>
      </c>
      <c r="G22" s="26" t="n">
        <v>9332000</v>
      </c>
      <c r="H22" s="26" t="n">
        <v>8931000</v>
      </c>
      <c r="I22" s="26" t="n">
        <v>8879000</v>
      </c>
      <c r="J22" s="26" t="n">
        <v>9105000</v>
      </c>
      <c r="K22" s="26" t="n">
        <v>9284000</v>
      </c>
      <c r="L22" s="26" t="n">
        <v>9366000</v>
      </c>
      <c r="M22" s="26" t="n">
        <v>9445000</v>
      </c>
      <c r="N22" s="26" t="n">
        <v>9156000</v>
      </c>
      <c r="O22" s="26" t="n">
        <v>9625000</v>
      </c>
      <c r="P22" s="26" t="n">
        <v>9622000</v>
      </c>
      <c r="Q22" s="26" t="n">
        <v>9450000</v>
      </c>
      <c r="R22" s="27" t="n">
        <f aca="false">Q22</f>
        <v>9450000</v>
      </c>
    </row>
    <row r="23" customFormat="false" ht="15" hidden="false" customHeight="false" outlineLevel="0" collapsed="false">
      <c r="A23" s="24" t="s">
        <v>100</v>
      </c>
      <c r="B23" s="10" t="s">
        <v>101</v>
      </c>
      <c r="C23" s="25" t="n">
        <f aca="false">VALUE(LEFT(A23,1))</f>
        <v>3</v>
      </c>
      <c r="D23" s="24" t="s">
        <v>80</v>
      </c>
      <c r="E23" s="26" t="n">
        <v>3000000</v>
      </c>
      <c r="F23" s="26" t="n">
        <v>3010000</v>
      </c>
      <c r="G23" s="26" t="n">
        <v>2916000</v>
      </c>
      <c r="H23" s="26" t="n">
        <v>3138000</v>
      </c>
      <c r="I23" s="26" t="n">
        <v>3036000</v>
      </c>
      <c r="J23" s="26" t="n">
        <v>3116000</v>
      </c>
      <c r="K23" s="26" t="n">
        <v>3072000</v>
      </c>
      <c r="L23" s="26" t="n">
        <v>3122000</v>
      </c>
      <c r="M23" s="26" t="n">
        <v>3106000</v>
      </c>
      <c r="N23" s="26" t="n">
        <v>3165000</v>
      </c>
      <c r="O23" s="26" t="n">
        <v>3110000</v>
      </c>
      <c r="P23" s="26" t="n">
        <v>2992000</v>
      </c>
      <c r="Q23" s="26" t="n">
        <v>3228000</v>
      </c>
      <c r="R23" s="27" t="n">
        <f aca="false">Q23</f>
        <v>3228000</v>
      </c>
    </row>
    <row r="24" customFormat="false" ht="15" hidden="false" customHeight="false" outlineLevel="0" collapsed="false">
      <c r="A24" s="24" t="s">
        <v>102</v>
      </c>
      <c r="B24" s="10" t="s">
        <v>103</v>
      </c>
      <c r="C24" s="25" t="n">
        <f aca="false">VALUE(LEFT(A24,1))</f>
        <v>3</v>
      </c>
      <c r="D24" s="24" t="s">
        <v>80</v>
      </c>
      <c r="E24" s="26" t="n">
        <v>14233000</v>
      </c>
      <c r="F24" s="26" t="n">
        <v>13008000</v>
      </c>
      <c r="G24" s="26" t="n">
        <v>14800000</v>
      </c>
      <c r="H24" s="26" t="n">
        <v>15364000</v>
      </c>
      <c r="I24" s="26" t="n">
        <v>15216000</v>
      </c>
      <c r="J24" s="26" t="n">
        <v>14074000</v>
      </c>
      <c r="K24" s="26" t="n">
        <v>16587000</v>
      </c>
      <c r="L24" s="26" t="n">
        <v>15072000</v>
      </c>
      <c r="M24" s="26" t="n">
        <v>11500000</v>
      </c>
      <c r="N24" s="26" t="n">
        <v>15610000</v>
      </c>
      <c r="O24" s="26" t="n">
        <v>15194000</v>
      </c>
      <c r="P24" s="26" t="n">
        <v>16682000</v>
      </c>
      <c r="Q24" s="26" t="n">
        <v>15516000</v>
      </c>
      <c r="R24" s="27" t="n">
        <f aca="false">Q24</f>
        <v>15516000</v>
      </c>
    </row>
    <row r="25" customFormat="false" ht="15" hidden="false" customHeight="false" outlineLevel="0" collapsed="false">
      <c r="A25" s="24" t="s">
        <v>104</v>
      </c>
      <c r="B25" s="10" t="s">
        <v>105</v>
      </c>
      <c r="C25" s="25" t="n">
        <f aca="false">VALUE(LEFT(A25,1))</f>
        <v>3</v>
      </c>
      <c r="D25" s="24" t="s">
        <v>80</v>
      </c>
      <c r="E25" s="26" t="n">
        <v>300000</v>
      </c>
      <c r="F25" s="26" t="n">
        <v>252000</v>
      </c>
      <c r="G25" s="26" t="n">
        <v>274000</v>
      </c>
      <c r="H25" s="26" t="n">
        <v>307000</v>
      </c>
      <c r="I25" s="26" t="n">
        <v>272000</v>
      </c>
      <c r="J25" s="26" t="n">
        <v>323000</v>
      </c>
      <c r="K25" s="26" t="n">
        <v>339000</v>
      </c>
      <c r="L25" s="26" t="n">
        <v>293000</v>
      </c>
      <c r="M25" s="26" t="n">
        <v>236000</v>
      </c>
      <c r="N25" s="26" t="n">
        <v>279000</v>
      </c>
      <c r="O25" s="26" t="n">
        <v>308000</v>
      </c>
      <c r="P25" s="26" t="n">
        <v>317000</v>
      </c>
      <c r="Q25" s="26" t="n">
        <v>337000</v>
      </c>
      <c r="R25" s="27" t="n">
        <f aca="false">Q25</f>
        <v>337000</v>
      </c>
    </row>
    <row r="26" customFormat="false" ht="15" hidden="false" customHeight="false" outlineLevel="0" collapsed="false">
      <c r="A26" s="24" t="s">
        <v>106</v>
      </c>
      <c r="B26" s="10" t="s">
        <v>107</v>
      </c>
      <c r="C26" s="25" t="n">
        <f aca="false">VALUE(LEFT(A26,1))</f>
        <v>3</v>
      </c>
      <c r="D26" s="24" t="s">
        <v>70</v>
      </c>
      <c r="E26" s="26" t="n">
        <v>180000</v>
      </c>
      <c r="F26" s="26" t="n">
        <v>180000</v>
      </c>
      <c r="G26" s="26" t="n">
        <v>180000</v>
      </c>
      <c r="H26" s="26" t="n">
        <v>180000</v>
      </c>
      <c r="I26" s="26" t="n">
        <v>180000</v>
      </c>
      <c r="J26" s="26" t="n">
        <v>180000</v>
      </c>
      <c r="K26" s="26" t="n">
        <v>240000</v>
      </c>
      <c r="L26" s="26" t="n">
        <v>240000</v>
      </c>
      <c r="M26" s="26" t="n">
        <v>240000</v>
      </c>
      <c r="N26" s="26" t="n">
        <v>240000</v>
      </c>
      <c r="O26" s="26" t="n">
        <v>240000</v>
      </c>
      <c r="P26" s="26" t="n">
        <v>240000</v>
      </c>
      <c r="Q26" s="26" t="n">
        <v>285000</v>
      </c>
      <c r="R26" s="27" t="n">
        <f aca="false">Q26</f>
        <v>285000</v>
      </c>
    </row>
    <row r="27" customFormat="false" ht="15" hidden="false" customHeight="false" outlineLevel="0" collapsed="false">
      <c r="A27" s="22"/>
      <c r="B27" s="23" t="s">
        <v>108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customFormat="false" ht="15" hidden="false" customHeight="false" outlineLevel="0" collapsed="false">
      <c r="A28" s="24" t="s">
        <v>109</v>
      </c>
      <c r="B28" s="10" t="s">
        <v>110</v>
      </c>
      <c r="C28" s="25" t="n">
        <f aca="false">VALUE(LEFT(A28,1))</f>
        <v>4</v>
      </c>
      <c r="D28" s="24" t="s">
        <v>70</v>
      </c>
      <c r="E28" s="26" t="n">
        <v>9680000</v>
      </c>
      <c r="F28" s="26" t="n">
        <v>7571000</v>
      </c>
      <c r="G28" s="26" t="n">
        <v>8119000</v>
      </c>
      <c r="H28" s="26" t="n">
        <v>9137000</v>
      </c>
      <c r="I28" s="26" t="n">
        <v>8719000</v>
      </c>
      <c r="J28" s="26" t="n">
        <v>9313000</v>
      </c>
      <c r="K28" s="26" t="n">
        <v>9788000</v>
      </c>
      <c r="L28" s="26" t="n">
        <v>9884000</v>
      </c>
      <c r="M28" s="26" t="n">
        <v>7297000</v>
      </c>
      <c r="N28" s="26" t="n">
        <v>9104000</v>
      </c>
      <c r="O28" s="26" t="n">
        <v>9824000</v>
      </c>
      <c r="P28" s="26" t="n">
        <v>9664000</v>
      </c>
      <c r="Q28" s="26" t="n">
        <v>10985000</v>
      </c>
      <c r="R28" s="27" t="n">
        <f aca="false">Q28</f>
        <v>10985000</v>
      </c>
    </row>
    <row r="29" customFormat="false" ht="15" hidden="false" customHeight="false" outlineLevel="0" collapsed="false">
      <c r="A29" s="24" t="s">
        <v>111</v>
      </c>
      <c r="B29" s="10" t="s">
        <v>112</v>
      </c>
      <c r="C29" s="25" t="n">
        <f aca="false">VALUE(LEFT(A29,1))</f>
        <v>4</v>
      </c>
      <c r="D29" s="24" t="s">
        <v>70</v>
      </c>
      <c r="E29" s="26" t="n">
        <v>180000</v>
      </c>
      <c r="F29" s="26" t="n">
        <v>182000</v>
      </c>
      <c r="G29" s="26" t="n">
        <v>183000</v>
      </c>
      <c r="H29" s="26" t="n">
        <v>184000</v>
      </c>
      <c r="I29" s="26" t="n">
        <v>185000</v>
      </c>
      <c r="J29" s="26" t="n">
        <v>185000</v>
      </c>
      <c r="K29" s="26" t="n">
        <v>186000</v>
      </c>
      <c r="L29" s="26" t="n">
        <v>187000</v>
      </c>
      <c r="M29" s="26" t="n">
        <v>188000</v>
      </c>
      <c r="N29" s="26" t="n">
        <v>188000</v>
      </c>
      <c r="O29" s="26" t="n">
        <v>189000</v>
      </c>
      <c r="P29" s="26" t="n">
        <v>190000</v>
      </c>
      <c r="Q29" s="26" t="n">
        <v>205000</v>
      </c>
      <c r="R29" s="27" t="n">
        <f aca="false">Q29</f>
        <v>205000</v>
      </c>
    </row>
    <row r="30" customFormat="false" ht="15" hidden="false" customHeight="false" outlineLevel="0" collapsed="false">
      <c r="A30" s="24" t="s">
        <v>113</v>
      </c>
      <c r="B30" s="10" t="s">
        <v>114</v>
      </c>
      <c r="C30" s="25" t="n">
        <f aca="false">VALUE(LEFT(A30,1))</f>
        <v>4</v>
      </c>
      <c r="D30" s="24" t="s">
        <v>70</v>
      </c>
      <c r="E30" s="26" t="n">
        <v>320000</v>
      </c>
      <c r="F30" s="26" t="n">
        <v>319000</v>
      </c>
      <c r="G30" s="26" t="n">
        <v>320000</v>
      </c>
      <c r="H30" s="26" t="n">
        <v>322000</v>
      </c>
      <c r="I30" s="26" t="n">
        <v>323000</v>
      </c>
      <c r="J30" s="26" t="n">
        <v>324000</v>
      </c>
      <c r="K30" s="26" t="n">
        <v>326000</v>
      </c>
      <c r="L30" s="26" t="n">
        <v>327000</v>
      </c>
      <c r="M30" s="26" t="n">
        <v>328000</v>
      </c>
      <c r="N30" s="26" t="n">
        <v>329000</v>
      </c>
      <c r="O30" s="26" t="n">
        <v>331000</v>
      </c>
      <c r="P30" s="26" t="n">
        <v>332000</v>
      </c>
      <c r="Q30" s="26" t="n">
        <v>358000</v>
      </c>
      <c r="R30" s="27" t="n">
        <f aca="false">Q30</f>
        <v>358000</v>
      </c>
    </row>
    <row r="31" customFormat="false" ht="15" hidden="false" customHeight="false" outlineLevel="0" collapsed="false">
      <c r="A31" s="24" t="s">
        <v>115</v>
      </c>
      <c r="B31" s="10" t="s">
        <v>116</v>
      </c>
      <c r="C31" s="25" t="n">
        <f aca="false">VALUE(LEFT(A31,1))</f>
        <v>4</v>
      </c>
      <c r="D31" s="24" t="s">
        <v>70</v>
      </c>
      <c r="E31" s="26" t="n">
        <v>0</v>
      </c>
      <c r="F31" s="26" t="n">
        <v>93700</v>
      </c>
      <c r="G31" s="26" t="n">
        <v>278300</v>
      </c>
      <c r="H31" s="26" t="n">
        <v>0</v>
      </c>
      <c r="I31" s="26" t="n">
        <v>157100</v>
      </c>
      <c r="J31" s="26" t="n">
        <v>365800</v>
      </c>
      <c r="K31" s="26" t="n">
        <v>0</v>
      </c>
      <c r="L31" s="26" t="n">
        <v>205100</v>
      </c>
      <c r="M31" s="26" t="n">
        <v>258400</v>
      </c>
      <c r="N31" s="26" t="n">
        <v>0</v>
      </c>
      <c r="O31" s="26" t="n">
        <v>266800</v>
      </c>
      <c r="P31" s="26" t="n">
        <v>479300</v>
      </c>
      <c r="Q31" s="26" t="n">
        <v>0</v>
      </c>
      <c r="R31" s="27" t="n">
        <f aca="false">Q31</f>
        <v>0</v>
      </c>
    </row>
    <row r="32" customFormat="false" ht="15" hidden="false" customHeight="false" outlineLevel="0" collapsed="false">
      <c r="A32" s="24" t="s">
        <v>117</v>
      </c>
      <c r="B32" s="10" t="s">
        <v>118</v>
      </c>
      <c r="C32" s="25" t="n">
        <f aca="false">VALUE(LEFT(A32,1))</f>
        <v>4</v>
      </c>
      <c r="D32" s="24" t="s">
        <v>70</v>
      </c>
      <c r="E32" s="26" t="n">
        <v>30000</v>
      </c>
      <c r="F32" s="26" t="n">
        <v>215000</v>
      </c>
      <c r="G32" s="26" t="n">
        <v>229000</v>
      </c>
      <c r="H32" s="26" t="n">
        <v>251000</v>
      </c>
      <c r="I32" s="26" t="n">
        <v>238000</v>
      </c>
      <c r="J32" s="26" t="n">
        <v>250000</v>
      </c>
      <c r="K32" s="26" t="n">
        <v>260000</v>
      </c>
      <c r="L32" s="26" t="n">
        <v>246000</v>
      </c>
      <c r="M32" s="26" t="n">
        <v>199000</v>
      </c>
      <c r="N32" s="26" t="n">
        <v>245000</v>
      </c>
      <c r="O32" s="26" t="n">
        <v>263000</v>
      </c>
      <c r="P32" s="26" t="n">
        <v>262000</v>
      </c>
      <c r="Q32" s="26" t="n">
        <v>274000</v>
      </c>
      <c r="R32" s="27" t="n">
        <f aca="false">Q32</f>
        <v>274000</v>
      </c>
    </row>
    <row r="33" customFormat="false" ht="15" hidden="false" customHeight="false" outlineLevel="0" collapsed="false">
      <c r="A33" s="22"/>
      <c r="B33" s="23" t="s">
        <v>119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customFormat="false" ht="15" hidden="false" customHeight="false" outlineLevel="0" collapsed="false">
      <c r="A34" s="24" t="s">
        <v>120</v>
      </c>
      <c r="B34" s="10" t="s">
        <v>121</v>
      </c>
      <c r="C34" s="25" t="n">
        <f aca="false">VALUE(LEFT(A34,1))</f>
        <v>5</v>
      </c>
      <c r="D34" s="24" t="s">
        <v>80</v>
      </c>
      <c r="E34" s="26" t="n">
        <v>4227000</v>
      </c>
      <c r="F34" s="26" t="n">
        <v>4236000</v>
      </c>
      <c r="G34" s="26" t="n">
        <v>3769300</v>
      </c>
      <c r="H34" s="26" t="n">
        <v>4680000</v>
      </c>
      <c r="I34" s="26" t="n">
        <v>3699900</v>
      </c>
      <c r="J34" s="26" t="n">
        <v>6071100</v>
      </c>
      <c r="K34" s="26" t="n">
        <v>4233600</v>
      </c>
      <c r="L34" s="26" t="n">
        <v>6893400</v>
      </c>
      <c r="M34" s="26" t="n">
        <v>8236500</v>
      </c>
      <c r="N34" s="26" t="n">
        <v>6656300</v>
      </c>
      <c r="O34" s="26" t="n">
        <v>9146000</v>
      </c>
      <c r="P34" s="26" t="n">
        <v>8574000</v>
      </c>
      <c r="Q34" s="26" t="n">
        <v>11360200</v>
      </c>
      <c r="R34" s="27" t="n">
        <f aca="false">Q34</f>
        <v>11360200</v>
      </c>
    </row>
    <row r="35" customFormat="false" ht="15" hidden="false" customHeight="false" outlineLevel="0" collapsed="false">
      <c r="A35" s="24" t="s">
        <v>122</v>
      </c>
      <c r="B35" s="10" t="s">
        <v>123</v>
      </c>
      <c r="C35" s="25" t="n">
        <f aca="false">VALUE(LEFT(A35,1))</f>
        <v>5</v>
      </c>
      <c r="D35" s="24" t="s">
        <v>80</v>
      </c>
      <c r="E35" s="26" t="n">
        <v>30000</v>
      </c>
      <c r="F35" s="26" t="n">
        <v>30000</v>
      </c>
      <c r="G35" s="26" t="n">
        <v>30000</v>
      </c>
      <c r="H35" s="26" t="n">
        <v>30000</v>
      </c>
      <c r="I35" s="26" t="n">
        <v>30000</v>
      </c>
      <c r="J35" s="26" t="n">
        <v>30000</v>
      </c>
      <c r="K35" s="26" t="n">
        <v>30000</v>
      </c>
      <c r="L35" s="26" t="n">
        <v>30000</v>
      </c>
      <c r="M35" s="26" t="n">
        <v>30000</v>
      </c>
      <c r="N35" s="26" t="n">
        <v>30000</v>
      </c>
      <c r="O35" s="26" t="n">
        <v>30000</v>
      </c>
      <c r="P35" s="26" t="n">
        <v>30000</v>
      </c>
      <c r="Q35" s="26" t="n">
        <v>30000</v>
      </c>
      <c r="R35" s="27" t="n">
        <f aca="false">Q35</f>
        <v>30000</v>
      </c>
    </row>
    <row r="36" customFormat="false" ht="15" hidden="false" customHeight="false" outlineLevel="0" collapsed="false">
      <c r="A36" s="22"/>
      <c r="B36" s="23" t="s">
        <v>124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customFormat="false" ht="15" hidden="false" customHeight="false" outlineLevel="0" collapsed="false">
      <c r="A37" s="24" t="s">
        <v>125</v>
      </c>
      <c r="B37" s="10" t="s">
        <v>126</v>
      </c>
      <c r="C37" s="25" t="n">
        <f aca="false">VALUE(LEFT(A37,1))</f>
        <v>6</v>
      </c>
      <c r="D37" s="24" t="s">
        <v>80</v>
      </c>
      <c r="E37" s="28"/>
      <c r="F37" s="26" t="n">
        <v>94000</v>
      </c>
      <c r="G37" s="26" t="n">
        <v>100000</v>
      </c>
      <c r="H37" s="26" t="n">
        <v>110000</v>
      </c>
      <c r="I37" s="26" t="n">
        <v>104000</v>
      </c>
      <c r="J37" s="26" t="n">
        <v>109000</v>
      </c>
      <c r="K37" s="26" t="n">
        <v>113000</v>
      </c>
      <c r="L37" s="26" t="n">
        <v>107000</v>
      </c>
      <c r="M37" s="26" t="n">
        <v>87000</v>
      </c>
      <c r="N37" s="26" t="n">
        <v>107000</v>
      </c>
      <c r="O37" s="26" t="n">
        <v>115000</v>
      </c>
      <c r="P37" s="26" t="n">
        <v>114000</v>
      </c>
      <c r="Q37" s="26" t="n">
        <v>119000</v>
      </c>
      <c r="R37" s="27" t="n">
        <f aca="false">SUM(F37:Q37)</f>
        <v>1279000</v>
      </c>
    </row>
    <row r="38" customFormat="false" ht="15" hidden="false" customHeight="false" outlineLevel="0" collapsed="false">
      <c r="A38" s="24" t="s">
        <v>127</v>
      </c>
      <c r="B38" s="10" t="s">
        <v>128</v>
      </c>
      <c r="C38" s="25" t="n">
        <f aca="false">VALUE(LEFT(A38,1))</f>
        <v>6</v>
      </c>
      <c r="D38" s="24" t="s">
        <v>80</v>
      </c>
      <c r="E38" s="28"/>
      <c r="F38" s="26" t="n">
        <v>2360000</v>
      </c>
      <c r="G38" s="26" t="n">
        <v>2563000</v>
      </c>
      <c r="H38" s="26" t="n">
        <v>2976000</v>
      </c>
      <c r="I38" s="26" t="n">
        <v>2557000</v>
      </c>
      <c r="J38" s="26" t="n">
        <v>3075000</v>
      </c>
      <c r="K38" s="26" t="n">
        <v>2949000</v>
      </c>
      <c r="L38" s="26" t="n">
        <v>2775000</v>
      </c>
      <c r="M38" s="26" t="n">
        <v>2202000</v>
      </c>
      <c r="N38" s="26" t="n">
        <v>2622000</v>
      </c>
      <c r="O38" s="26" t="n">
        <v>2864000</v>
      </c>
      <c r="P38" s="26" t="n">
        <v>3074000</v>
      </c>
      <c r="Q38" s="26" t="n">
        <v>3283000</v>
      </c>
      <c r="R38" s="27" t="n">
        <f aca="false">SUM(F38:Q38)</f>
        <v>33300000</v>
      </c>
    </row>
    <row r="39" customFormat="false" ht="15" hidden="false" customHeight="false" outlineLevel="0" collapsed="false">
      <c r="A39" s="24" t="s">
        <v>129</v>
      </c>
      <c r="B39" s="10" t="s">
        <v>130</v>
      </c>
      <c r="C39" s="25" t="n">
        <f aca="false">VALUE(LEFT(A39,1))</f>
        <v>6</v>
      </c>
      <c r="D39" s="24" t="s">
        <v>80</v>
      </c>
      <c r="E39" s="28"/>
      <c r="F39" s="26" t="n">
        <v>187000</v>
      </c>
      <c r="G39" s="26" t="n">
        <v>212000</v>
      </c>
      <c r="H39" s="26" t="n">
        <v>220000</v>
      </c>
      <c r="I39" s="26" t="n">
        <v>205000</v>
      </c>
      <c r="J39" s="26" t="n">
        <v>230000</v>
      </c>
      <c r="K39" s="26" t="n">
        <v>234000</v>
      </c>
      <c r="L39" s="26" t="n">
        <v>221000</v>
      </c>
      <c r="M39" s="26" t="n">
        <v>177000</v>
      </c>
      <c r="N39" s="26" t="n">
        <v>212000</v>
      </c>
      <c r="O39" s="26" t="n">
        <v>245000</v>
      </c>
      <c r="P39" s="26" t="n">
        <v>228000</v>
      </c>
      <c r="Q39" s="26" t="n">
        <v>244000</v>
      </c>
      <c r="R39" s="27" t="n">
        <f aca="false">SUM(F39:Q39)</f>
        <v>2615000</v>
      </c>
    </row>
    <row r="40" customFormat="false" ht="15" hidden="false" customHeight="false" outlineLevel="0" collapsed="false">
      <c r="A40" s="24" t="s">
        <v>131</v>
      </c>
      <c r="B40" s="10" t="s">
        <v>132</v>
      </c>
      <c r="C40" s="25" t="n">
        <f aca="false">VALUE(LEFT(A40,1))</f>
        <v>6</v>
      </c>
      <c r="D40" s="24" t="s">
        <v>80</v>
      </c>
      <c r="E40" s="28"/>
      <c r="F40" s="26" t="n">
        <v>9000</v>
      </c>
      <c r="G40" s="26" t="n">
        <v>125000</v>
      </c>
      <c r="H40" s="26" t="n">
        <v>-193000</v>
      </c>
      <c r="I40" s="26" t="n">
        <v>44000</v>
      </c>
      <c r="J40" s="26" t="n">
        <v>-162000</v>
      </c>
      <c r="K40" s="26" t="n">
        <v>10000</v>
      </c>
      <c r="L40" s="26" t="n">
        <v>24000</v>
      </c>
      <c r="M40" s="26" t="n">
        <v>45000</v>
      </c>
      <c r="N40" s="26" t="n">
        <v>64000</v>
      </c>
      <c r="O40" s="26" t="n">
        <v>234000</v>
      </c>
      <c r="P40" s="26" t="n">
        <v>-189000</v>
      </c>
      <c r="Q40" s="26" t="n">
        <v>-196000</v>
      </c>
      <c r="R40" s="27" t="n">
        <f aca="false">SUM(F40:Q40)</f>
        <v>-185000</v>
      </c>
    </row>
    <row r="41" customFormat="false" ht="15" hidden="false" customHeight="false" outlineLevel="0" collapsed="false">
      <c r="A41" s="24" t="s">
        <v>133</v>
      </c>
      <c r="B41" s="10" t="s">
        <v>134</v>
      </c>
      <c r="C41" s="25" t="n">
        <f aca="false">VALUE(LEFT(A41,1))</f>
        <v>6</v>
      </c>
      <c r="D41" s="24" t="s">
        <v>80</v>
      </c>
      <c r="E41" s="28"/>
      <c r="F41" s="26" t="n">
        <v>218000</v>
      </c>
      <c r="G41" s="26" t="n">
        <v>248000</v>
      </c>
      <c r="H41" s="26" t="n">
        <v>256000</v>
      </c>
      <c r="I41" s="26" t="n">
        <v>240000</v>
      </c>
      <c r="J41" s="26" t="n">
        <v>268000</v>
      </c>
      <c r="K41" s="26" t="n">
        <v>273000</v>
      </c>
      <c r="L41" s="26" t="n">
        <v>258000</v>
      </c>
      <c r="M41" s="26" t="n">
        <v>207000</v>
      </c>
      <c r="N41" s="26" t="n">
        <v>247000</v>
      </c>
      <c r="O41" s="26" t="n">
        <v>285000</v>
      </c>
      <c r="P41" s="26" t="n">
        <v>266000</v>
      </c>
      <c r="Q41" s="26" t="n">
        <v>284000</v>
      </c>
      <c r="R41" s="27" t="n">
        <f aca="false">SUM(F41:Q41)</f>
        <v>3050000</v>
      </c>
    </row>
    <row r="42" customFormat="false" ht="15" hidden="false" customHeight="false" outlineLevel="0" collapsed="false">
      <c r="A42" s="24" t="s">
        <v>135</v>
      </c>
      <c r="B42" s="10" t="s">
        <v>136</v>
      </c>
      <c r="C42" s="25" t="n">
        <f aca="false">VALUE(LEFT(A42,1))</f>
        <v>6</v>
      </c>
      <c r="D42" s="24" t="s">
        <v>80</v>
      </c>
      <c r="E42" s="28"/>
      <c r="F42" s="26" t="n">
        <v>312000</v>
      </c>
      <c r="G42" s="26" t="n">
        <v>354000</v>
      </c>
      <c r="H42" s="26" t="n">
        <v>366000</v>
      </c>
      <c r="I42" s="26" t="n">
        <v>342000</v>
      </c>
      <c r="J42" s="26" t="n">
        <v>383000</v>
      </c>
      <c r="K42" s="26" t="n">
        <v>389000</v>
      </c>
      <c r="L42" s="26" t="n">
        <v>368000</v>
      </c>
      <c r="M42" s="26" t="n">
        <v>296000</v>
      </c>
      <c r="N42" s="26" t="n">
        <v>353000</v>
      </c>
      <c r="O42" s="26" t="n">
        <v>408000</v>
      </c>
      <c r="P42" s="26" t="n">
        <v>380000</v>
      </c>
      <c r="Q42" s="26" t="n">
        <v>406000</v>
      </c>
      <c r="R42" s="27" t="n">
        <f aca="false">SUM(F42:Q42)</f>
        <v>4357000</v>
      </c>
    </row>
    <row r="43" customFormat="false" ht="15" hidden="false" customHeight="false" outlineLevel="0" collapsed="false">
      <c r="A43" s="24" t="s">
        <v>137</v>
      </c>
      <c r="B43" s="10" t="s">
        <v>138</v>
      </c>
      <c r="C43" s="25" t="n">
        <f aca="false">VALUE(LEFT(A43,1))</f>
        <v>6</v>
      </c>
      <c r="D43" s="24" t="s">
        <v>80</v>
      </c>
      <c r="E43" s="28"/>
      <c r="F43" s="26" t="n">
        <v>85000</v>
      </c>
      <c r="G43" s="26" t="n">
        <v>85000</v>
      </c>
      <c r="H43" s="26" t="n">
        <v>85000</v>
      </c>
      <c r="I43" s="26" t="n">
        <v>85000</v>
      </c>
      <c r="J43" s="26" t="n">
        <v>85000</v>
      </c>
      <c r="K43" s="26" t="n">
        <v>85000</v>
      </c>
      <c r="L43" s="26" t="n">
        <v>85000</v>
      </c>
      <c r="M43" s="26" t="n">
        <v>85000</v>
      </c>
      <c r="N43" s="26" t="n">
        <v>85000</v>
      </c>
      <c r="O43" s="26" t="n">
        <v>85000</v>
      </c>
      <c r="P43" s="26" t="n">
        <v>85000</v>
      </c>
      <c r="Q43" s="26" t="n">
        <v>85000</v>
      </c>
      <c r="R43" s="27" t="n">
        <f aca="false">SUM(F43:Q43)</f>
        <v>1020000</v>
      </c>
    </row>
    <row r="44" customFormat="false" ht="15" hidden="false" customHeight="false" outlineLevel="0" collapsed="false">
      <c r="A44" s="24" t="s">
        <v>139</v>
      </c>
      <c r="B44" s="10" t="s">
        <v>140</v>
      </c>
      <c r="C44" s="25" t="n">
        <f aca="false">VALUE(LEFT(A44,1))</f>
        <v>6</v>
      </c>
      <c r="D44" s="24" t="s">
        <v>80</v>
      </c>
      <c r="E44" s="28"/>
      <c r="F44" s="26" t="n">
        <v>94000</v>
      </c>
      <c r="G44" s="26" t="n">
        <v>106000</v>
      </c>
      <c r="H44" s="26" t="n">
        <v>110000</v>
      </c>
      <c r="I44" s="26" t="n">
        <v>103000</v>
      </c>
      <c r="J44" s="26" t="n">
        <v>115000</v>
      </c>
      <c r="K44" s="26" t="n">
        <v>537000</v>
      </c>
      <c r="L44" s="26" t="n">
        <v>110000</v>
      </c>
      <c r="M44" s="26" t="n">
        <v>89000</v>
      </c>
      <c r="N44" s="26" t="n">
        <v>106000</v>
      </c>
      <c r="O44" s="26" t="n">
        <v>122000</v>
      </c>
      <c r="P44" s="26" t="n">
        <v>114000</v>
      </c>
      <c r="Q44" s="26" t="n">
        <v>122000</v>
      </c>
      <c r="R44" s="27" t="n">
        <f aca="false">SUM(F44:Q44)</f>
        <v>1728000</v>
      </c>
    </row>
    <row r="45" customFormat="false" ht="15" hidden="false" customHeight="false" outlineLevel="0" collapsed="false">
      <c r="A45" s="24" t="s">
        <v>141</v>
      </c>
      <c r="B45" s="10" t="s">
        <v>142</v>
      </c>
      <c r="C45" s="25" t="n">
        <f aca="false">VALUE(LEFT(A45,1))</f>
        <v>6</v>
      </c>
      <c r="D45" s="24" t="s">
        <v>80</v>
      </c>
      <c r="E45" s="28"/>
      <c r="F45" s="26" t="n">
        <v>40000</v>
      </c>
      <c r="G45" s="26" t="n">
        <v>40000</v>
      </c>
      <c r="H45" s="26" t="n">
        <v>40000</v>
      </c>
      <c r="I45" s="26" t="n">
        <v>40000</v>
      </c>
      <c r="J45" s="26" t="n">
        <v>40000</v>
      </c>
      <c r="K45" s="26" t="n">
        <v>40000</v>
      </c>
      <c r="L45" s="26" t="n">
        <v>40000</v>
      </c>
      <c r="M45" s="26" t="n">
        <v>40000</v>
      </c>
      <c r="N45" s="26" t="n">
        <v>40000</v>
      </c>
      <c r="O45" s="26" t="n">
        <v>40000</v>
      </c>
      <c r="P45" s="26" t="n">
        <v>40000</v>
      </c>
      <c r="Q45" s="26" t="n">
        <v>40000</v>
      </c>
      <c r="R45" s="27" t="n">
        <f aca="false">SUM(F45:Q45)</f>
        <v>480000</v>
      </c>
    </row>
    <row r="46" customFormat="false" ht="15" hidden="false" customHeight="false" outlineLevel="0" collapsed="false">
      <c r="A46" s="24" t="s">
        <v>143</v>
      </c>
      <c r="B46" s="10" t="s">
        <v>144</v>
      </c>
      <c r="C46" s="25" t="n">
        <f aca="false">VALUE(LEFT(A46,1))</f>
        <v>6</v>
      </c>
      <c r="D46" s="24" t="s">
        <v>80</v>
      </c>
      <c r="E46" s="28"/>
      <c r="F46" s="26" t="n">
        <v>35000</v>
      </c>
      <c r="G46" s="26" t="n">
        <v>35000</v>
      </c>
      <c r="H46" s="26" t="n">
        <v>35000</v>
      </c>
      <c r="I46" s="26" t="n">
        <v>35000</v>
      </c>
      <c r="J46" s="26" t="n">
        <v>125000</v>
      </c>
      <c r="K46" s="26" t="n">
        <v>35000</v>
      </c>
      <c r="L46" s="26" t="n">
        <v>35000</v>
      </c>
      <c r="M46" s="26" t="n">
        <v>35000</v>
      </c>
      <c r="N46" s="26" t="n">
        <v>35000</v>
      </c>
      <c r="O46" s="26" t="n">
        <v>35000</v>
      </c>
      <c r="P46" s="26" t="n">
        <v>35000</v>
      </c>
      <c r="Q46" s="26" t="n">
        <v>35000</v>
      </c>
      <c r="R46" s="27" t="n">
        <f aca="false">SUM(F46:Q46)</f>
        <v>510000</v>
      </c>
    </row>
    <row r="47" customFormat="false" ht="15" hidden="false" customHeight="false" outlineLevel="0" collapsed="false">
      <c r="A47" s="24" t="s">
        <v>145</v>
      </c>
      <c r="B47" s="10" t="s">
        <v>146</v>
      </c>
      <c r="C47" s="25" t="n">
        <f aca="false">VALUE(LEFT(A47,1))</f>
        <v>6</v>
      </c>
      <c r="D47" s="24" t="s">
        <v>80</v>
      </c>
      <c r="E47" s="28"/>
      <c r="F47" s="26" t="n">
        <v>116000</v>
      </c>
      <c r="G47" s="26" t="n">
        <v>124000</v>
      </c>
      <c r="H47" s="26" t="n">
        <v>136000</v>
      </c>
      <c r="I47" s="26" t="n">
        <v>129000</v>
      </c>
      <c r="J47" s="26" t="n">
        <v>135000</v>
      </c>
      <c r="K47" s="26" t="n">
        <v>140000</v>
      </c>
      <c r="L47" s="26" t="n">
        <v>133000</v>
      </c>
      <c r="M47" s="26" t="n">
        <v>107000</v>
      </c>
      <c r="N47" s="26" t="n">
        <v>132000</v>
      </c>
      <c r="O47" s="26" t="n">
        <v>142000</v>
      </c>
      <c r="P47" s="26" t="n">
        <v>142000</v>
      </c>
      <c r="Q47" s="26" t="n">
        <v>148000</v>
      </c>
      <c r="R47" s="27" t="n">
        <f aca="false">SUM(F47:Q47)</f>
        <v>1584000</v>
      </c>
    </row>
    <row r="48" customFormat="false" ht="15" hidden="false" customHeight="false" outlineLevel="0" collapsed="false">
      <c r="A48" s="24" t="s">
        <v>147</v>
      </c>
      <c r="B48" s="10" t="s">
        <v>148</v>
      </c>
      <c r="C48" s="25" t="n">
        <f aca="false">VALUE(LEFT(A48,1))</f>
        <v>6</v>
      </c>
      <c r="D48" s="24" t="s">
        <v>80</v>
      </c>
      <c r="E48" s="28"/>
      <c r="F48" s="26" t="n">
        <v>25000</v>
      </c>
      <c r="G48" s="26" t="n">
        <v>25000</v>
      </c>
      <c r="H48" s="26" t="n">
        <v>25000</v>
      </c>
      <c r="I48" s="26" t="n">
        <v>25000</v>
      </c>
      <c r="J48" s="26" t="n">
        <v>25000</v>
      </c>
      <c r="K48" s="26" t="n">
        <v>25000</v>
      </c>
      <c r="L48" s="26" t="n">
        <v>25000</v>
      </c>
      <c r="M48" s="26" t="n">
        <v>25000</v>
      </c>
      <c r="N48" s="26" t="n">
        <v>25000</v>
      </c>
      <c r="O48" s="26" t="n">
        <v>25000</v>
      </c>
      <c r="P48" s="26" t="n">
        <v>25000</v>
      </c>
      <c r="Q48" s="26" t="n">
        <v>25000</v>
      </c>
      <c r="R48" s="27" t="n">
        <f aca="false">SUM(F48:Q48)</f>
        <v>300000</v>
      </c>
    </row>
    <row r="49" customFormat="false" ht="15" hidden="false" customHeight="false" outlineLevel="0" collapsed="false">
      <c r="A49" s="24" t="s">
        <v>149</v>
      </c>
      <c r="B49" s="10" t="s">
        <v>150</v>
      </c>
      <c r="C49" s="25" t="n">
        <f aca="false">VALUE(LEFT(A49,1))</f>
        <v>6</v>
      </c>
      <c r="D49" s="24" t="s">
        <v>80</v>
      </c>
      <c r="E49" s="28"/>
      <c r="F49" s="26" t="n">
        <v>12000</v>
      </c>
      <c r="G49" s="26" t="n">
        <v>12000</v>
      </c>
      <c r="H49" s="26" t="n">
        <v>12000</v>
      </c>
      <c r="I49" s="26" t="n">
        <v>12000</v>
      </c>
      <c r="J49" s="26" t="n">
        <v>12000</v>
      </c>
      <c r="K49" s="26" t="n">
        <v>12000</v>
      </c>
      <c r="L49" s="26" t="n">
        <v>12000</v>
      </c>
      <c r="M49" s="26" t="n">
        <v>12000</v>
      </c>
      <c r="N49" s="26" t="n">
        <v>12000</v>
      </c>
      <c r="O49" s="26" t="n">
        <v>12000</v>
      </c>
      <c r="P49" s="26" t="n">
        <v>12000</v>
      </c>
      <c r="Q49" s="26" t="n">
        <v>12000</v>
      </c>
      <c r="R49" s="27" t="n">
        <f aca="false">SUM(F49:Q49)</f>
        <v>144000</v>
      </c>
    </row>
    <row r="50" customFormat="false" ht="15" hidden="false" customHeight="false" outlineLevel="0" collapsed="false">
      <c r="A50" s="24" t="s">
        <v>151</v>
      </c>
      <c r="B50" s="10" t="s">
        <v>152</v>
      </c>
      <c r="C50" s="25" t="n">
        <f aca="false">VALUE(LEFT(A50,1))</f>
        <v>6</v>
      </c>
      <c r="D50" s="24" t="s">
        <v>80</v>
      </c>
      <c r="E50" s="28"/>
      <c r="F50" s="26" t="n">
        <v>15000</v>
      </c>
      <c r="G50" s="26" t="n">
        <v>15000</v>
      </c>
      <c r="H50" s="26" t="n">
        <v>15000</v>
      </c>
      <c r="I50" s="26" t="n">
        <v>15000</v>
      </c>
      <c r="J50" s="26" t="n">
        <v>15000</v>
      </c>
      <c r="K50" s="26" t="n">
        <v>15000</v>
      </c>
      <c r="L50" s="26" t="n">
        <v>15000</v>
      </c>
      <c r="M50" s="26" t="n">
        <v>15000</v>
      </c>
      <c r="N50" s="26" t="n">
        <v>15000</v>
      </c>
      <c r="O50" s="26" t="n">
        <v>15000</v>
      </c>
      <c r="P50" s="26" t="n">
        <v>15000</v>
      </c>
      <c r="Q50" s="26" t="n">
        <v>15000</v>
      </c>
      <c r="R50" s="27" t="n">
        <f aca="false">SUM(F50:Q50)</f>
        <v>180000</v>
      </c>
    </row>
    <row r="51" customFormat="false" ht="15" hidden="false" customHeight="false" outlineLevel="0" collapsed="false">
      <c r="A51" s="24" t="s">
        <v>153</v>
      </c>
      <c r="B51" s="10" t="s">
        <v>154</v>
      </c>
      <c r="C51" s="25" t="n">
        <f aca="false">VALUE(LEFT(A51,1))</f>
        <v>6</v>
      </c>
      <c r="D51" s="24" t="s">
        <v>80</v>
      </c>
      <c r="E51" s="28"/>
      <c r="F51" s="26" t="n">
        <v>25000</v>
      </c>
      <c r="G51" s="26" t="n">
        <v>25000</v>
      </c>
      <c r="H51" s="26" t="n">
        <v>25000</v>
      </c>
      <c r="I51" s="26" t="n">
        <v>25000</v>
      </c>
      <c r="J51" s="26" t="n">
        <v>25000</v>
      </c>
      <c r="K51" s="26" t="n">
        <v>25000</v>
      </c>
      <c r="L51" s="26" t="n">
        <v>25000</v>
      </c>
      <c r="M51" s="26" t="n">
        <v>25000</v>
      </c>
      <c r="N51" s="26" t="n">
        <v>25000</v>
      </c>
      <c r="O51" s="26" t="n">
        <v>25000</v>
      </c>
      <c r="P51" s="26" t="n">
        <v>25000</v>
      </c>
      <c r="Q51" s="26" t="n">
        <v>25000</v>
      </c>
      <c r="R51" s="27" t="n">
        <f aca="false">SUM(F51:Q51)</f>
        <v>300000</v>
      </c>
    </row>
    <row r="52" customFormat="false" ht="15" hidden="false" customHeight="false" outlineLevel="0" collapsed="false">
      <c r="A52" s="24" t="s">
        <v>155</v>
      </c>
      <c r="B52" s="10" t="s">
        <v>156</v>
      </c>
      <c r="C52" s="25" t="n">
        <f aca="false">VALUE(LEFT(A52,1))</f>
        <v>6</v>
      </c>
      <c r="D52" s="24" t="s">
        <v>80</v>
      </c>
      <c r="E52" s="28"/>
      <c r="F52" s="26" t="n">
        <v>1520000</v>
      </c>
      <c r="G52" s="26" t="n">
        <v>1526000</v>
      </c>
      <c r="H52" s="26" t="n">
        <v>1532000</v>
      </c>
      <c r="I52" s="26" t="n">
        <v>1538000</v>
      </c>
      <c r="J52" s="26" t="n">
        <v>1544000</v>
      </c>
      <c r="K52" s="26" t="n">
        <v>1550000</v>
      </c>
      <c r="L52" s="26" t="n">
        <v>1556000</v>
      </c>
      <c r="M52" s="26" t="n">
        <v>1563000</v>
      </c>
      <c r="N52" s="26" t="n">
        <v>1569000</v>
      </c>
      <c r="O52" s="26" t="n">
        <v>1575000</v>
      </c>
      <c r="P52" s="26" t="n">
        <v>1581000</v>
      </c>
      <c r="Q52" s="26" t="n">
        <v>1707000</v>
      </c>
      <c r="R52" s="27" t="n">
        <f aca="false">SUM(F52:Q52)</f>
        <v>18761000</v>
      </c>
    </row>
    <row r="53" customFormat="false" ht="15" hidden="false" customHeight="false" outlineLevel="0" collapsed="false">
      <c r="A53" s="24" t="s">
        <v>157</v>
      </c>
      <c r="B53" s="10" t="s">
        <v>158</v>
      </c>
      <c r="C53" s="25" t="n">
        <f aca="false">VALUE(LEFT(A53,1))</f>
        <v>6</v>
      </c>
      <c r="D53" s="24" t="s">
        <v>80</v>
      </c>
      <c r="E53" s="28"/>
      <c r="F53" s="26" t="n">
        <v>319000</v>
      </c>
      <c r="G53" s="26" t="n">
        <v>320000</v>
      </c>
      <c r="H53" s="26" t="n">
        <v>322000</v>
      </c>
      <c r="I53" s="26" t="n">
        <v>323000</v>
      </c>
      <c r="J53" s="26" t="n">
        <v>324000</v>
      </c>
      <c r="K53" s="26" t="n">
        <v>326000</v>
      </c>
      <c r="L53" s="26" t="n">
        <v>327000</v>
      </c>
      <c r="M53" s="26" t="n">
        <v>328000</v>
      </c>
      <c r="N53" s="26" t="n">
        <v>329000</v>
      </c>
      <c r="O53" s="26" t="n">
        <v>331000</v>
      </c>
      <c r="P53" s="26" t="n">
        <v>332000</v>
      </c>
      <c r="Q53" s="26" t="n">
        <v>358000</v>
      </c>
      <c r="R53" s="27" t="n">
        <f aca="false">SUM(F53:Q53)</f>
        <v>3939000</v>
      </c>
    </row>
    <row r="54" customFormat="false" ht="15" hidden="false" customHeight="false" outlineLevel="0" collapsed="false">
      <c r="A54" s="24" t="s">
        <v>159</v>
      </c>
      <c r="B54" s="10" t="s">
        <v>160</v>
      </c>
      <c r="C54" s="25" t="n">
        <f aca="false">VALUE(LEFT(A54,1))</f>
        <v>6</v>
      </c>
      <c r="D54" s="24" t="s">
        <v>80</v>
      </c>
      <c r="E54" s="28"/>
      <c r="F54" s="26" t="n">
        <v>30000</v>
      </c>
      <c r="G54" s="26" t="n">
        <v>30000</v>
      </c>
      <c r="H54" s="26" t="n">
        <v>30000</v>
      </c>
      <c r="I54" s="26" t="n">
        <v>30000</v>
      </c>
      <c r="J54" s="26" t="n">
        <v>30000</v>
      </c>
      <c r="K54" s="26" t="n">
        <v>30000</v>
      </c>
      <c r="L54" s="26" t="n">
        <v>30000</v>
      </c>
      <c r="M54" s="26" t="n">
        <v>30000</v>
      </c>
      <c r="N54" s="26" t="n">
        <v>30000</v>
      </c>
      <c r="O54" s="26" t="n">
        <v>30000</v>
      </c>
      <c r="P54" s="26" t="n">
        <v>30000</v>
      </c>
      <c r="Q54" s="26" t="n">
        <v>30000</v>
      </c>
      <c r="R54" s="27" t="n">
        <f aca="false">SUM(F54:Q54)</f>
        <v>360000</v>
      </c>
    </row>
    <row r="55" customFormat="false" ht="15" hidden="false" customHeight="false" outlineLevel="0" collapsed="false">
      <c r="A55" s="24" t="s">
        <v>161</v>
      </c>
      <c r="B55" s="10" t="s">
        <v>162</v>
      </c>
      <c r="C55" s="25" t="n">
        <f aca="false">VALUE(LEFT(A55,1))</f>
        <v>6</v>
      </c>
      <c r="D55" s="24" t="s">
        <v>80</v>
      </c>
      <c r="E55" s="28"/>
      <c r="F55" s="26" t="n">
        <v>0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0</v>
      </c>
      <c r="N55" s="26" t="n">
        <v>0</v>
      </c>
      <c r="O55" s="26" t="n">
        <v>0</v>
      </c>
      <c r="P55" s="26" t="n">
        <v>0</v>
      </c>
      <c r="Q55" s="26" t="n">
        <v>35000</v>
      </c>
      <c r="R55" s="27" t="n">
        <f aca="false">SUM(F55:Q55)</f>
        <v>35000</v>
      </c>
    </row>
    <row r="56" customFormat="false" ht="15" hidden="false" customHeight="false" outlineLevel="0" collapsed="false">
      <c r="A56" s="24" t="s">
        <v>163</v>
      </c>
      <c r="B56" s="10" t="s">
        <v>164</v>
      </c>
      <c r="C56" s="25" t="n">
        <f aca="false">VALUE(LEFT(A56,1))</f>
        <v>6</v>
      </c>
      <c r="D56" s="24" t="s">
        <v>80</v>
      </c>
      <c r="E56" s="28"/>
      <c r="F56" s="26" t="n">
        <v>382500</v>
      </c>
      <c r="G56" s="26" t="n">
        <v>382500</v>
      </c>
      <c r="H56" s="26" t="n">
        <v>382500</v>
      </c>
      <c r="I56" s="26" t="n">
        <v>382500</v>
      </c>
      <c r="J56" s="26" t="n">
        <v>397500</v>
      </c>
      <c r="K56" s="26" t="n">
        <v>397500</v>
      </c>
      <c r="L56" s="26" t="n">
        <v>397500</v>
      </c>
      <c r="M56" s="26" t="n">
        <v>397500</v>
      </c>
      <c r="N56" s="26" t="n">
        <v>397500</v>
      </c>
      <c r="O56" s="26" t="n">
        <v>397500</v>
      </c>
      <c r="P56" s="26" t="n">
        <v>389500</v>
      </c>
      <c r="Q56" s="26" t="n">
        <v>389500</v>
      </c>
      <c r="R56" s="27" t="n">
        <f aca="false">SUM(F56:Q56)</f>
        <v>4694000</v>
      </c>
    </row>
    <row r="57" customFormat="false" ht="15" hidden="false" customHeight="false" outlineLevel="0" collapsed="false">
      <c r="A57" s="24" t="s">
        <v>165</v>
      </c>
      <c r="B57" s="10" t="s">
        <v>166</v>
      </c>
      <c r="C57" s="25" t="n">
        <f aca="false">VALUE(LEFT(A57,1))</f>
        <v>6</v>
      </c>
      <c r="D57" s="24" t="s">
        <v>80</v>
      </c>
      <c r="E57" s="28"/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60000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80000</v>
      </c>
      <c r="R57" s="27" t="n">
        <f aca="false">SUM(F57:Q57)</f>
        <v>140000</v>
      </c>
    </row>
    <row r="58" customFormat="false" ht="15" hidden="false" customHeight="false" outlineLevel="0" collapsed="false">
      <c r="A58" s="24" t="s">
        <v>167</v>
      </c>
      <c r="B58" s="10" t="s">
        <v>168</v>
      </c>
      <c r="C58" s="25" t="n">
        <f aca="false">VALUE(LEFT(A58,1))</f>
        <v>6</v>
      </c>
      <c r="D58" s="24" t="s">
        <v>80</v>
      </c>
      <c r="E58" s="28"/>
      <c r="F58" s="26" t="n">
        <v>104000</v>
      </c>
      <c r="G58" s="26" t="n">
        <v>102700</v>
      </c>
      <c r="H58" s="26" t="n">
        <v>101400</v>
      </c>
      <c r="I58" s="26" t="n">
        <v>100100</v>
      </c>
      <c r="J58" s="26" t="n">
        <v>98800</v>
      </c>
      <c r="K58" s="26" t="n">
        <v>97500</v>
      </c>
      <c r="L58" s="26" t="n">
        <v>96200</v>
      </c>
      <c r="M58" s="26" t="n">
        <v>94900</v>
      </c>
      <c r="N58" s="26" t="n">
        <v>93600</v>
      </c>
      <c r="O58" s="26" t="n">
        <v>92300</v>
      </c>
      <c r="P58" s="26" t="n">
        <v>91000</v>
      </c>
      <c r="Q58" s="26" t="n">
        <v>89700</v>
      </c>
      <c r="R58" s="27" t="n">
        <f aca="false">SUM(F58:Q58)</f>
        <v>1162200</v>
      </c>
    </row>
    <row r="59" customFormat="false" ht="15" hidden="false" customHeight="false" outlineLevel="0" collapsed="false">
      <c r="A59" s="24" t="s">
        <v>169</v>
      </c>
      <c r="B59" s="10" t="s">
        <v>170</v>
      </c>
      <c r="C59" s="25" t="n">
        <f aca="false">VALUE(LEFT(A59,1))</f>
        <v>6</v>
      </c>
      <c r="D59" s="24" t="s">
        <v>80</v>
      </c>
      <c r="E59" s="28"/>
      <c r="F59" s="26" t="n">
        <v>27000</v>
      </c>
      <c r="G59" s="26" t="n">
        <v>37000</v>
      </c>
      <c r="H59" s="26" t="n">
        <v>52000</v>
      </c>
      <c r="I59" s="26" t="n">
        <v>21000</v>
      </c>
      <c r="J59" s="26" t="n">
        <v>29000</v>
      </c>
      <c r="K59" s="26" t="n">
        <v>61000</v>
      </c>
      <c r="L59" s="26" t="n">
        <v>20000</v>
      </c>
      <c r="M59" s="26" t="n">
        <v>27000</v>
      </c>
      <c r="N59" s="26" t="n">
        <v>30000</v>
      </c>
      <c r="O59" s="26" t="n">
        <v>52000</v>
      </c>
      <c r="P59" s="26" t="n">
        <v>33000</v>
      </c>
      <c r="Q59" s="26" t="n">
        <v>69000</v>
      </c>
      <c r="R59" s="27" t="n">
        <f aca="false">SUM(F59:Q59)</f>
        <v>458000</v>
      </c>
    </row>
    <row r="60" customFormat="false" ht="15" hidden="false" customHeight="false" outlineLevel="0" collapsed="false">
      <c r="A60" s="24" t="s">
        <v>171</v>
      </c>
      <c r="B60" s="10" t="s">
        <v>172</v>
      </c>
      <c r="C60" s="25" t="n">
        <f aca="false">VALUE(LEFT(A60,1))</f>
        <v>6</v>
      </c>
      <c r="D60" s="24" t="s">
        <v>80</v>
      </c>
      <c r="E60" s="28"/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110000</v>
      </c>
      <c r="P60" s="26" t="n">
        <v>0</v>
      </c>
      <c r="Q60" s="26" t="n">
        <v>0</v>
      </c>
      <c r="R60" s="27" t="n">
        <f aca="false">SUM(F60:Q60)</f>
        <v>110000</v>
      </c>
    </row>
    <row r="61" customFormat="false" ht="15" hidden="false" customHeight="false" outlineLevel="0" collapsed="false">
      <c r="A61" s="24" t="s">
        <v>173</v>
      </c>
      <c r="B61" s="10" t="s">
        <v>174</v>
      </c>
      <c r="C61" s="25" t="n">
        <f aca="false">VALUE(LEFT(A61,1))</f>
        <v>6</v>
      </c>
      <c r="D61" s="24" t="s">
        <v>80</v>
      </c>
      <c r="E61" s="28"/>
      <c r="F61" s="26" t="n">
        <v>0</v>
      </c>
      <c r="G61" s="26" t="n">
        <v>0</v>
      </c>
      <c r="H61" s="26" t="n">
        <v>20000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7" t="n">
        <f aca="false">SUM(F61:Q61)</f>
        <v>20000</v>
      </c>
    </row>
    <row r="62" customFormat="false" ht="15" hidden="false" customHeight="false" outlineLevel="0" collapsed="false">
      <c r="A62" s="24" t="s">
        <v>175</v>
      </c>
      <c r="B62" s="10" t="s">
        <v>176</v>
      </c>
      <c r="C62" s="25" t="n">
        <f aca="false">VALUE(LEFT(A62,1))</f>
        <v>6</v>
      </c>
      <c r="D62" s="24" t="s">
        <v>80</v>
      </c>
      <c r="E62" s="28"/>
      <c r="F62" s="26" t="n">
        <v>93700</v>
      </c>
      <c r="G62" s="26" t="n">
        <v>184600</v>
      </c>
      <c r="H62" s="26" t="n">
        <v>198600</v>
      </c>
      <c r="I62" s="26" t="n">
        <v>157100</v>
      </c>
      <c r="J62" s="26" t="n">
        <v>208700</v>
      </c>
      <c r="K62" s="26" t="n">
        <v>134200</v>
      </c>
      <c r="L62" s="26" t="n">
        <v>205100</v>
      </c>
      <c r="M62" s="26" t="n">
        <v>53300</v>
      </c>
      <c r="N62" s="26" t="n">
        <v>170200</v>
      </c>
      <c r="O62" s="26" t="n">
        <v>266800</v>
      </c>
      <c r="P62" s="26" t="n">
        <v>212500</v>
      </c>
      <c r="Q62" s="26" t="n">
        <v>217800</v>
      </c>
      <c r="R62" s="27" t="n">
        <f aca="false">SUM(F62:Q62)</f>
        <v>2102600</v>
      </c>
    </row>
    <row r="63" customFormat="false" ht="15" hidden="false" customHeight="false" outlineLevel="0" collapsed="false">
      <c r="A63" s="22"/>
      <c r="B63" s="23" t="s">
        <v>177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customFormat="false" ht="15" hidden="false" customHeight="false" outlineLevel="0" collapsed="false">
      <c r="A64" s="24" t="s">
        <v>178</v>
      </c>
      <c r="B64" s="10" t="s">
        <v>179</v>
      </c>
      <c r="C64" s="25" t="n">
        <f aca="false">VALUE(LEFT(A64,1))</f>
        <v>7</v>
      </c>
      <c r="D64" s="24" t="s">
        <v>70</v>
      </c>
      <c r="E64" s="28"/>
      <c r="F64" s="26" t="n">
        <v>127000</v>
      </c>
      <c r="G64" s="26" t="n">
        <v>135000</v>
      </c>
      <c r="H64" s="26" t="n">
        <v>148000</v>
      </c>
      <c r="I64" s="26" t="n">
        <v>140000</v>
      </c>
      <c r="J64" s="26" t="n">
        <v>147000</v>
      </c>
      <c r="K64" s="26" t="n">
        <v>153000</v>
      </c>
      <c r="L64" s="26" t="n">
        <v>145000</v>
      </c>
      <c r="M64" s="26" t="n">
        <v>117000</v>
      </c>
      <c r="N64" s="26" t="n">
        <v>144000</v>
      </c>
      <c r="O64" s="26" t="n">
        <v>155000</v>
      </c>
      <c r="P64" s="26" t="n">
        <v>154000</v>
      </c>
      <c r="Q64" s="26" t="n">
        <v>161000</v>
      </c>
      <c r="R64" s="27" t="n">
        <f aca="false">SUM(F64:Q64)</f>
        <v>1726000</v>
      </c>
    </row>
    <row r="65" customFormat="false" ht="15" hidden="false" customHeight="false" outlineLevel="0" collapsed="false">
      <c r="A65" s="24" t="s">
        <v>180</v>
      </c>
      <c r="B65" s="10" t="s">
        <v>181</v>
      </c>
      <c r="C65" s="25" t="n">
        <f aca="false">VALUE(LEFT(A65,1))</f>
        <v>7</v>
      </c>
      <c r="D65" s="24" t="s">
        <v>70</v>
      </c>
      <c r="E65" s="28"/>
      <c r="F65" s="26" t="n">
        <v>950000</v>
      </c>
      <c r="G65" s="26" t="n">
        <v>1009000</v>
      </c>
      <c r="H65" s="26" t="n">
        <v>1107000</v>
      </c>
      <c r="I65" s="26" t="n">
        <v>1050000</v>
      </c>
      <c r="J65" s="26" t="n">
        <v>1104000</v>
      </c>
      <c r="K65" s="26" t="n">
        <v>1148000</v>
      </c>
      <c r="L65" s="26" t="n">
        <v>1085000</v>
      </c>
      <c r="M65" s="26" t="n">
        <v>878000</v>
      </c>
      <c r="N65" s="26" t="n">
        <v>1080000</v>
      </c>
      <c r="O65" s="26" t="n">
        <v>1161000</v>
      </c>
      <c r="P65" s="26" t="n">
        <v>1157000</v>
      </c>
      <c r="Q65" s="26" t="n">
        <v>1209000</v>
      </c>
      <c r="R65" s="27" t="n">
        <f aca="false">SUM(F65:Q65)</f>
        <v>12938000</v>
      </c>
    </row>
    <row r="66" customFormat="false" ht="15" hidden="false" customHeight="false" outlineLevel="0" collapsed="false">
      <c r="A66" s="24" t="s">
        <v>182</v>
      </c>
      <c r="B66" s="10" t="s">
        <v>183</v>
      </c>
      <c r="C66" s="25" t="n">
        <f aca="false">VALUE(LEFT(A66,1))</f>
        <v>7</v>
      </c>
      <c r="D66" s="24" t="s">
        <v>70</v>
      </c>
      <c r="E66" s="28"/>
      <c r="F66" s="26" t="n">
        <v>5383000</v>
      </c>
      <c r="G66" s="26" t="n">
        <v>5718000</v>
      </c>
      <c r="H66" s="26" t="n">
        <v>6275000</v>
      </c>
      <c r="I66" s="26" t="n">
        <v>5949000</v>
      </c>
      <c r="J66" s="26" t="n">
        <v>6255000</v>
      </c>
      <c r="K66" s="26" t="n">
        <v>6503000</v>
      </c>
      <c r="L66" s="26" t="n">
        <v>6148000</v>
      </c>
      <c r="M66" s="26" t="n">
        <v>4973000</v>
      </c>
      <c r="N66" s="26" t="n">
        <v>6123000</v>
      </c>
      <c r="O66" s="26" t="n">
        <v>6578000</v>
      </c>
      <c r="P66" s="26" t="n">
        <v>6556000</v>
      </c>
      <c r="Q66" s="26" t="n">
        <v>6850000</v>
      </c>
      <c r="R66" s="27" t="n">
        <f aca="false">SUM(F66:Q66)</f>
        <v>73311000</v>
      </c>
    </row>
    <row r="67" customFormat="false" ht="15" hidden="false" customHeight="false" outlineLevel="0" collapsed="false">
      <c r="A67" s="24" t="s">
        <v>184</v>
      </c>
      <c r="B67" s="10" t="s">
        <v>185</v>
      </c>
      <c r="C67" s="25" t="n">
        <f aca="false">VALUE(LEFT(A67,1))</f>
        <v>7</v>
      </c>
      <c r="D67" s="24" t="s">
        <v>70</v>
      </c>
      <c r="E67" s="28"/>
      <c r="F67" s="26" t="n">
        <v>-109000</v>
      </c>
      <c r="G67" s="26" t="n">
        <v>441000</v>
      </c>
      <c r="H67" s="26" t="n">
        <v>-401000</v>
      </c>
      <c r="I67" s="26" t="n">
        <v>-52000</v>
      </c>
      <c r="J67" s="26" t="n">
        <v>226000</v>
      </c>
      <c r="K67" s="26" t="n">
        <v>179000</v>
      </c>
      <c r="L67" s="26" t="n">
        <v>82000</v>
      </c>
      <c r="M67" s="26" t="n">
        <v>79000</v>
      </c>
      <c r="N67" s="26" t="n">
        <v>-289000</v>
      </c>
      <c r="O67" s="26" t="n">
        <v>469000</v>
      </c>
      <c r="P67" s="26" t="n">
        <v>-3000</v>
      </c>
      <c r="Q67" s="26" t="n">
        <v>-172000</v>
      </c>
      <c r="R67" s="27" t="n">
        <f aca="false">SUM(F67:Q67)</f>
        <v>450000</v>
      </c>
    </row>
    <row r="68" customFormat="false" ht="15" hidden="false" customHeight="false" outlineLevel="0" collapsed="false">
      <c r="A68" s="24" t="s">
        <v>186</v>
      </c>
      <c r="B68" s="10" t="s">
        <v>187</v>
      </c>
      <c r="C68" s="25" t="n">
        <f aca="false">VALUE(LEFT(A68,1))</f>
        <v>7</v>
      </c>
      <c r="D68" s="24" t="s">
        <v>70</v>
      </c>
      <c r="E68" s="28"/>
      <c r="F68" s="26" t="n">
        <v>10000</v>
      </c>
      <c r="G68" s="26" t="n">
        <v>-94000</v>
      </c>
      <c r="H68" s="26" t="n">
        <v>222000</v>
      </c>
      <c r="I68" s="26" t="n">
        <v>-102000</v>
      </c>
      <c r="J68" s="26" t="n">
        <v>80000</v>
      </c>
      <c r="K68" s="26" t="n">
        <v>-44000</v>
      </c>
      <c r="L68" s="26" t="n">
        <v>50000</v>
      </c>
      <c r="M68" s="26" t="n">
        <v>-16000</v>
      </c>
      <c r="N68" s="26" t="n">
        <v>59000</v>
      </c>
      <c r="O68" s="26" t="n">
        <v>-55000</v>
      </c>
      <c r="P68" s="26" t="n">
        <v>-118000</v>
      </c>
      <c r="Q68" s="26" t="n">
        <v>236000</v>
      </c>
      <c r="R68" s="27" t="n">
        <f aca="false">SUM(F68:Q68)</f>
        <v>228000</v>
      </c>
    </row>
    <row r="69" customFormat="false" ht="15" hidden="false" customHeight="false" outlineLevel="0" collapsed="false">
      <c r="A69" s="24" t="s">
        <v>188</v>
      </c>
      <c r="B69" s="10" t="s">
        <v>189</v>
      </c>
      <c r="C69" s="25" t="n">
        <f aca="false">VALUE(LEFT(A69,1))</f>
        <v>7</v>
      </c>
      <c r="D69" s="24" t="s">
        <v>70</v>
      </c>
      <c r="E69" s="28"/>
      <c r="F69" s="26" t="n">
        <v>0</v>
      </c>
      <c r="G69" s="26" t="n">
        <v>0</v>
      </c>
      <c r="H69" s="26" t="n">
        <v>120000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v>0</v>
      </c>
      <c r="N69" s="26" t="n">
        <v>95000</v>
      </c>
      <c r="O69" s="26" t="n">
        <v>0</v>
      </c>
      <c r="P69" s="26" t="n">
        <v>0</v>
      </c>
      <c r="Q69" s="26" t="n">
        <v>0</v>
      </c>
      <c r="R69" s="27" t="n">
        <f aca="false">SUM(F69:Q69)</f>
        <v>215000</v>
      </c>
    </row>
    <row r="70" customFormat="false" ht="15" hidden="false" customHeight="false" outlineLevel="0" collapsed="false">
      <c r="A70" s="24" t="s">
        <v>190</v>
      </c>
      <c r="B70" s="10" t="s">
        <v>191</v>
      </c>
      <c r="C70" s="25" t="n">
        <f aca="false">VALUE(LEFT(A70,1))</f>
        <v>7</v>
      </c>
      <c r="D70" s="24" t="s">
        <v>70</v>
      </c>
      <c r="E70" s="28"/>
      <c r="F70" s="26" t="n">
        <v>40000</v>
      </c>
      <c r="G70" s="26" t="n">
        <v>40000</v>
      </c>
      <c r="H70" s="26" t="n">
        <v>40000</v>
      </c>
      <c r="I70" s="26" t="n">
        <v>40000</v>
      </c>
      <c r="J70" s="26" t="n">
        <v>40000</v>
      </c>
      <c r="K70" s="26" t="n">
        <v>40000</v>
      </c>
      <c r="L70" s="26" t="n">
        <v>40000</v>
      </c>
      <c r="M70" s="26" t="n">
        <v>40000</v>
      </c>
      <c r="N70" s="26" t="n">
        <v>40000</v>
      </c>
      <c r="O70" s="26" t="n">
        <v>40000</v>
      </c>
      <c r="P70" s="26" t="n">
        <v>40000</v>
      </c>
      <c r="Q70" s="26" t="n">
        <v>40000</v>
      </c>
      <c r="R70" s="27" t="n">
        <f aca="false">SUM(F70:Q70)</f>
        <v>480000</v>
      </c>
    </row>
    <row r="71" customFormat="false" ht="15" hidden="false" customHeight="false" outlineLevel="0" collapsed="false">
      <c r="A71" s="24" t="s">
        <v>192</v>
      </c>
      <c r="B71" s="10" t="s">
        <v>193</v>
      </c>
      <c r="C71" s="25" t="n">
        <f aca="false">VALUE(LEFT(A71,1))</f>
        <v>7</v>
      </c>
      <c r="D71" s="24" t="s">
        <v>70</v>
      </c>
      <c r="E71" s="28"/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0</v>
      </c>
      <c r="L71" s="26" t="n">
        <v>0</v>
      </c>
      <c r="M71" s="26" t="n">
        <v>0</v>
      </c>
      <c r="N71" s="26" t="n">
        <v>0</v>
      </c>
      <c r="O71" s="26" t="n">
        <v>0</v>
      </c>
      <c r="P71" s="26" t="n">
        <v>0</v>
      </c>
      <c r="Q71" s="26" t="n">
        <v>35000</v>
      </c>
      <c r="R71" s="27" t="n">
        <f aca="false">SUM(F71:Q71)</f>
        <v>35000</v>
      </c>
    </row>
    <row r="72" customFormat="false" ht="15" hidden="false" customHeight="false" outlineLevel="0" collapsed="false">
      <c r="A72" s="24" t="s">
        <v>194</v>
      </c>
      <c r="B72" s="10" t="s">
        <v>195</v>
      </c>
      <c r="C72" s="25" t="n">
        <f aca="false">VALUE(LEFT(A72,1))</f>
        <v>7</v>
      </c>
      <c r="D72" s="24" t="s">
        <v>70</v>
      </c>
      <c r="E72" s="28"/>
      <c r="F72" s="26" t="n">
        <v>25000</v>
      </c>
      <c r="G72" s="26" t="n">
        <v>25000</v>
      </c>
      <c r="H72" s="26" t="n">
        <v>25000</v>
      </c>
      <c r="I72" s="26" t="n">
        <v>25000</v>
      </c>
      <c r="J72" s="26" t="n">
        <v>25000</v>
      </c>
      <c r="K72" s="26" t="n">
        <v>25000</v>
      </c>
      <c r="L72" s="26" t="n">
        <v>25000</v>
      </c>
      <c r="M72" s="26" t="n">
        <v>25000</v>
      </c>
      <c r="N72" s="26" t="n">
        <v>25000</v>
      </c>
      <c r="O72" s="26" t="n">
        <v>25000</v>
      </c>
      <c r="P72" s="26" t="n">
        <v>25000</v>
      </c>
      <c r="Q72" s="26" t="n">
        <v>25000</v>
      </c>
      <c r="R72" s="27" t="n">
        <f aca="false">SUM(F72:Q72)</f>
        <v>300000</v>
      </c>
    </row>
    <row r="73" customFormat="false" ht="15" hidden="false" customHeight="false" outlineLevel="0" collapsed="false">
      <c r="A73" s="24" t="s">
        <v>196</v>
      </c>
      <c r="B73" s="10" t="s">
        <v>197</v>
      </c>
      <c r="C73" s="25" t="n">
        <f aca="false">VALUE(LEFT(A73,1))</f>
        <v>7</v>
      </c>
      <c r="D73" s="24" t="s">
        <v>70</v>
      </c>
      <c r="E73" s="28"/>
      <c r="F73" s="26" t="n">
        <v>47000</v>
      </c>
      <c r="G73" s="26" t="n">
        <v>111000</v>
      </c>
      <c r="H73" s="26" t="n">
        <v>110000</v>
      </c>
      <c r="I73" s="26" t="n">
        <v>86000</v>
      </c>
      <c r="J73" s="26" t="n">
        <v>65000</v>
      </c>
      <c r="K73" s="26" t="n">
        <v>66000</v>
      </c>
      <c r="L73" s="26" t="n">
        <v>105000</v>
      </c>
      <c r="M73" s="26" t="n">
        <v>53000</v>
      </c>
      <c r="N73" s="26" t="n">
        <v>98000</v>
      </c>
      <c r="O73" s="26" t="n">
        <v>46000</v>
      </c>
      <c r="P73" s="26" t="n">
        <v>69000</v>
      </c>
      <c r="Q73" s="26" t="n">
        <v>105000</v>
      </c>
      <c r="R73" s="27" t="n">
        <f aca="false">SUM(F73:Q73)</f>
        <v>961000</v>
      </c>
    </row>
    <row r="74" customFormat="false" ht="15" hidden="false" customHeight="false" outlineLevel="0" collapsed="false">
      <c r="A74" s="24" t="s">
        <v>198</v>
      </c>
      <c r="B74" s="10" t="s">
        <v>199</v>
      </c>
      <c r="C74" s="25" t="n">
        <f aca="false">VALUE(LEFT(A74,1))</f>
        <v>7</v>
      </c>
      <c r="D74" s="24" t="s">
        <v>70</v>
      </c>
      <c r="E74" s="28"/>
      <c r="F74" s="26" t="n">
        <v>5000</v>
      </c>
      <c r="G74" s="26" t="n">
        <v>5000</v>
      </c>
      <c r="H74" s="26" t="n">
        <v>5000</v>
      </c>
      <c r="I74" s="26" t="n">
        <v>5000</v>
      </c>
      <c r="J74" s="26" t="n">
        <v>5000</v>
      </c>
      <c r="K74" s="26" t="n">
        <v>5000</v>
      </c>
      <c r="L74" s="26" t="n">
        <v>5000</v>
      </c>
      <c r="M74" s="26" t="n">
        <v>5000</v>
      </c>
      <c r="N74" s="26" t="n">
        <v>5000</v>
      </c>
      <c r="O74" s="26" t="n">
        <v>5000</v>
      </c>
      <c r="P74" s="26" t="n">
        <v>5000</v>
      </c>
      <c r="Q74" s="26" t="n">
        <v>5000</v>
      </c>
      <c r="R74" s="27" t="n">
        <f aca="false">SUM(F74:Q74)</f>
        <v>60000</v>
      </c>
    </row>
    <row r="75" customFormat="false" ht="15" hidden="false" customHeight="false" outlineLevel="0" collapsed="false">
      <c r="A75" s="24" t="s">
        <v>200</v>
      </c>
      <c r="B75" s="10" t="s">
        <v>201</v>
      </c>
      <c r="C75" s="25" t="n">
        <f aca="false">VALUE(LEFT(A75,1))</f>
        <v>7</v>
      </c>
      <c r="D75" s="24" t="s">
        <v>70</v>
      </c>
      <c r="E75" s="28"/>
      <c r="F75" s="26" t="n">
        <v>0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0</v>
      </c>
      <c r="L75" s="26" t="n">
        <v>0</v>
      </c>
      <c r="M75" s="26" t="n">
        <v>0</v>
      </c>
      <c r="N75" s="26" t="n">
        <v>0</v>
      </c>
      <c r="O75" s="26" t="n">
        <v>150000</v>
      </c>
      <c r="P75" s="26" t="n">
        <v>0</v>
      </c>
      <c r="Q75" s="26" t="n">
        <v>0</v>
      </c>
      <c r="R75" s="27" t="n">
        <f aca="false">SUM(F75:Q75)</f>
        <v>150000</v>
      </c>
    </row>
    <row r="77" customFormat="false" ht="15" hidden="false" customHeight="false" outlineLevel="0" collapsed="false">
      <c r="A77" s="29"/>
      <c r="B77" s="30" t="s">
        <v>202</v>
      </c>
      <c r="C77" s="29"/>
      <c r="D77" s="29"/>
      <c r="E77" s="31" t="n">
        <f aca="false">SUMPRODUCT(($D$6:$D$75="D")*($C$6:$C$75&lt;=5)*E$6:E$75)-SUMPRODUCT(($D$6:$D$75="C")*($C$6:$C$75&lt;=5)*E$6:E$75)</f>
        <v>0</v>
      </c>
      <c r="F77" s="31" t="n">
        <f aca="false">SUMPRODUCT(($D$6:$D$75="D")*($C$6:$C$75&lt;=5)*F$6:F$75)-SUMPRODUCT(($D$6:$D$75="C")*($C$6:$C$75&lt;=5)*F$6:F$75)+SUMPRODUCT(($D$6:$D$75="D")*($C$6:$C$75&gt;=6)*$F$6:F$75)-SUMPRODUCT(($D$6:$D$75="C")*($C$6:$C$75&gt;=6)*$F$6:F$75)</f>
        <v>0</v>
      </c>
      <c r="G77" s="31" t="n">
        <f aca="false">SUMPRODUCT(($D$6:$D$75="D")*($C$6:$C$75&lt;=5)*G$6:G$75)-SUMPRODUCT(($D$6:$D$75="C")*($C$6:$C$75&lt;=5)*G$6:G$75)+SUMPRODUCT(($D$6:$D$75="D")*($C$6:$C$75&gt;=6)*$F$6:G$75)-SUMPRODUCT(($D$6:$D$75="C")*($C$6:$C$75&gt;=6)*$F$6:G$75)</f>
        <v>0</v>
      </c>
      <c r="H77" s="31" t="n">
        <f aca="false">SUMPRODUCT(($D$6:$D$75="D")*($C$6:$C$75&lt;=5)*H$6:H$75)-SUMPRODUCT(($D$6:$D$75="C")*($C$6:$C$75&lt;=5)*H$6:H$75)+SUMPRODUCT(($D$6:$D$75="D")*($C$6:$C$75&gt;=6)*$F$6:H$75)-SUMPRODUCT(($D$6:$D$75="C")*($C$6:$C$75&gt;=6)*$F$6:H$75)</f>
        <v>0</v>
      </c>
      <c r="I77" s="31" t="n">
        <f aca="false">SUMPRODUCT(($D$6:$D$75="D")*($C$6:$C$75&lt;=5)*I$6:I$75)-SUMPRODUCT(($D$6:$D$75="C")*($C$6:$C$75&lt;=5)*I$6:I$75)+SUMPRODUCT(($D$6:$D$75="D")*($C$6:$C$75&gt;=6)*$F$6:I$75)-SUMPRODUCT(($D$6:$D$75="C")*($C$6:$C$75&gt;=6)*$F$6:I$75)</f>
        <v>0</v>
      </c>
      <c r="J77" s="31" t="n">
        <f aca="false">SUMPRODUCT(($D$6:$D$75="D")*($C$6:$C$75&lt;=5)*J$6:J$75)-SUMPRODUCT(($D$6:$D$75="C")*($C$6:$C$75&lt;=5)*J$6:J$75)+SUMPRODUCT(($D$6:$D$75="D")*($C$6:$C$75&gt;=6)*$F$6:J$75)-SUMPRODUCT(($D$6:$D$75="C")*($C$6:$C$75&gt;=6)*$F$6:J$75)</f>
        <v>0</v>
      </c>
      <c r="K77" s="31" t="n">
        <f aca="false">SUMPRODUCT(($D$6:$D$75="D")*($C$6:$C$75&lt;=5)*K$6:K$75)-SUMPRODUCT(($D$6:$D$75="C")*($C$6:$C$75&lt;=5)*K$6:K$75)+SUMPRODUCT(($D$6:$D$75="D")*($C$6:$C$75&gt;=6)*$F$6:K$75)-SUMPRODUCT(($D$6:$D$75="C")*($C$6:$C$75&gt;=6)*$F$6:K$75)</f>
        <v>0</v>
      </c>
      <c r="L77" s="31" t="n">
        <f aca="false">SUMPRODUCT(($D$6:$D$75="D")*($C$6:$C$75&lt;=5)*L$6:L$75)-SUMPRODUCT(($D$6:$D$75="C")*($C$6:$C$75&lt;=5)*L$6:L$75)+SUMPRODUCT(($D$6:$D$75="D")*($C$6:$C$75&gt;=6)*$F$6:L$75)-SUMPRODUCT(($D$6:$D$75="C")*($C$6:$C$75&gt;=6)*$F$6:L$75)</f>
        <v>0</v>
      </c>
      <c r="M77" s="31" t="n">
        <f aca="false">SUMPRODUCT(($D$6:$D$75="D")*($C$6:$C$75&lt;=5)*M$6:M$75)-SUMPRODUCT(($D$6:$D$75="C")*($C$6:$C$75&lt;=5)*M$6:M$75)+SUMPRODUCT(($D$6:$D$75="D")*($C$6:$C$75&gt;=6)*$F$6:M$75)-SUMPRODUCT(($D$6:$D$75="C")*($C$6:$C$75&gt;=6)*$F$6:M$75)</f>
        <v>0</v>
      </c>
      <c r="N77" s="31" t="n">
        <f aca="false">SUMPRODUCT(($D$6:$D$75="D")*($C$6:$C$75&lt;=5)*N$6:N$75)-SUMPRODUCT(($D$6:$D$75="C")*($C$6:$C$75&lt;=5)*N$6:N$75)+SUMPRODUCT(($D$6:$D$75="D")*($C$6:$C$75&gt;=6)*$F$6:N$75)-SUMPRODUCT(($D$6:$D$75="C")*($C$6:$C$75&gt;=6)*$F$6:N$75)</f>
        <v>0</v>
      </c>
      <c r="O77" s="31" t="n">
        <f aca="false">SUMPRODUCT(($D$6:$D$75="D")*($C$6:$C$75&lt;=5)*O$6:O$75)-SUMPRODUCT(($D$6:$D$75="C")*($C$6:$C$75&lt;=5)*O$6:O$75)+SUMPRODUCT(($D$6:$D$75="D")*($C$6:$C$75&gt;=6)*$F$6:O$75)-SUMPRODUCT(($D$6:$D$75="C")*($C$6:$C$75&gt;=6)*$F$6:O$75)</f>
        <v>0</v>
      </c>
      <c r="P77" s="31" t="n">
        <f aca="false">SUMPRODUCT(($D$6:$D$75="D")*($C$6:$C$75&lt;=5)*P$6:P$75)-SUMPRODUCT(($D$6:$D$75="C")*($C$6:$C$75&lt;=5)*P$6:P$75)+SUMPRODUCT(($D$6:$D$75="D")*($C$6:$C$75&gt;=6)*$F$6:P$75)-SUMPRODUCT(($D$6:$D$75="C")*($C$6:$C$75&gt;=6)*$F$6:P$75)</f>
        <v>0</v>
      </c>
      <c r="Q77" s="31" t="n">
        <f aca="false">SUMPRODUCT(($D$6:$D$75="D")*($C$6:$C$75&lt;=5)*Q$6:Q$75)-SUMPRODUCT(($D$6:$D$75="C")*($C$6:$C$75&lt;=5)*Q$6:Q$75)+SUMPRODUCT(($D$6:$D$75="D")*($C$6:$C$75&gt;=6)*$F$6:Q$75)-SUMPRODUCT(($D$6:$D$75="C")*($C$6:$C$75&gt;=6)*$F$6:Q$75)</f>
        <v>0</v>
      </c>
      <c r="R77" s="29"/>
    </row>
    <row r="80" customFormat="false" ht="15" hidden="false" customHeight="false" outlineLevel="0" collapsed="false">
      <c r="A80" s="6"/>
      <c r="B80" s="23" t="s">
        <v>203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customFormat="false" ht="15" hidden="false" customHeight="false" outlineLevel="0" collapsed="false">
      <c r="B81" s="11" t="s">
        <v>204</v>
      </c>
      <c r="F81" s="32" t="n">
        <v>345400</v>
      </c>
      <c r="G81" s="32" t="n">
        <v>689100</v>
      </c>
      <c r="H81" s="32" t="n">
        <v>731500</v>
      </c>
      <c r="I81" s="32" t="n">
        <v>579200</v>
      </c>
      <c r="J81" s="32" t="n">
        <v>791900</v>
      </c>
      <c r="K81" s="32" t="n">
        <v>494100</v>
      </c>
      <c r="L81" s="32" t="n">
        <v>757600</v>
      </c>
      <c r="M81" s="32" t="n">
        <v>195300</v>
      </c>
      <c r="N81" s="32" t="n">
        <v>625300</v>
      </c>
      <c r="O81" s="32" t="n">
        <v>1010900</v>
      </c>
      <c r="P81" s="32" t="n">
        <v>806900</v>
      </c>
      <c r="Q81" s="32" t="n">
        <v>795800</v>
      </c>
      <c r="R81" s="33" t="n">
        <f aca="false">SUM(F81:Q81)</f>
        <v>7823000</v>
      </c>
    </row>
  </sheetData>
  <hyperlinks>
    <hyperlink ref="R1" location="Accueil!A1" display="⌂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4C"/>
    <pageSetUpPr fitToPage="true"/>
  </sheetPr>
  <dimension ref="A1: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15" min="4" style="0" width="12.5"/>
    <col collapsed="false" customWidth="true" hidden="false" outlineLevel="0" max="16" min="16" style="0" width="15"/>
  </cols>
  <sheetData>
    <row r="1" customFormat="false" ht="30" hidden="false" customHeight="true" outlineLevel="0" collapsed="false">
      <c r="A1" s="16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7" t="s">
        <v>46</v>
      </c>
    </row>
    <row r="2" customFormat="false" ht="15" hidden="false" customHeight="false" outlineLevel="0" collapsed="false">
      <c r="A2" s="18" t="s">
        <v>206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27.75" hidden="false" customHeight="true" outlineLevel="0" collapsed="false">
      <c r="A4" s="21" t="s">
        <v>207</v>
      </c>
      <c r="B4" s="21" t="s">
        <v>208</v>
      </c>
      <c r="C4" s="21" t="s">
        <v>209</v>
      </c>
      <c r="D4" s="21" t="s">
        <v>55</v>
      </c>
      <c r="E4" s="21" t="s">
        <v>56</v>
      </c>
      <c r="F4" s="21" t="s">
        <v>57</v>
      </c>
      <c r="G4" s="21" t="s">
        <v>58</v>
      </c>
      <c r="H4" s="21" t="s">
        <v>59</v>
      </c>
      <c r="I4" s="21" t="s">
        <v>60</v>
      </c>
      <c r="J4" s="21" t="s">
        <v>61</v>
      </c>
      <c r="K4" s="21" t="s">
        <v>62</v>
      </c>
      <c r="L4" s="21" t="s">
        <v>63</v>
      </c>
      <c r="M4" s="21" t="s">
        <v>64</v>
      </c>
      <c r="N4" s="21" t="s">
        <v>65</v>
      </c>
      <c r="O4" s="21" t="s">
        <v>42</v>
      </c>
      <c r="P4" s="21" t="s">
        <v>210</v>
      </c>
    </row>
    <row r="5" customFormat="false" ht="15" hidden="false" customHeight="false" outlineLevel="0" collapsed="false">
      <c r="A5" s="34" t="s">
        <v>211</v>
      </c>
      <c r="B5" s="23" t="s">
        <v>212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customFormat="false" ht="15" hidden="false" customHeight="false" outlineLevel="0" collapsed="false">
      <c r="A6" s="28"/>
      <c r="B6" s="10" t="s">
        <v>213</v>
      </c>
      <c r="C6" s="35" t="s">
        <v>214</v>
      </c>
      <c r="D6" s="36" t="n">
        <f aca="false">IFERROR(SUMPRODUCT((LEFT(Balance!$A$6:$A$75,3)="711")*Balance!F$6:F$75),0)</f>
        <v>127000</v>
      </c>
      <c r="E6" s="36" t="n">
        <f aca="false">IFERROR(SUMPRODUCT((LEFT(Balance!$A$6:$A$75,3)="711")*Balance!G$6:G$75),0)</f>
        <v>135000</v>
      </c>
      <c r="F6" s="36" t="n">
        <f aca="false">IFERROR(SUMPRODUCT((LEFT(Balance!$A$6:$A$75,3)="711")*Balance!H$6:H$75),0)</f>
        <v>148000</v>
      </c>
      <c r="G6" s="36" t="n">
        <f aca="false">IFERROR(SUMPRODUCT((LEFT(Balance!$A$6:$A$75,3)="711")*Balance!I$6:I$75),0)</f>
        <v>140000</v>
      </c>
      <c r="H6" s="36" t="n">
        <f aca="false">IFERROR(SUMPRODUCT((LEFT(Balance!$A$6:$A$75,3)="711")*Balance!J$6:J$75),0)</f>
        <v>147000</v>
      </c>
      <c r="I6" s="36" t="n">
        <f aca="false">IFERROR(SUMPRODUCT((LEFT(Balance!$A$6:$A$75,3)="711")*Balance!K$6:K$75),0)</f>
        <v>153000</v>
      </c>
      <c r="J6" s="36" t="n">
        <f aca="false">IFERROR(SUMPRODUCT((LEFT(Balance!$A$6:$A$75,3)="711")*Balance!L$6:L$75),0)</f>
        <v>145000</v>
      </c>
      <c r="K6" s="36" t="n">
        <f aca="false">IFERROR(SUMPRODUCT((LEFT(Balance!$A$6:$A$75,3)="711")*Balance!M$6:M$75),0)</f>
        <v>117000</v>
      </c>
      <c r="L6" s="36" t="n">
        <f aca="false">IFERROR(SUMPRODUCT((LEFT(Balance!$A$6:$A$75,3)="711")*Balance!N$6:N$75),0)</f>
        <v>144000</v>
      </c>
      <c r="M6" s="36" t="n">
        <f aca="false">IFERROR(SUMPRODUCT((LEFT(Balance!$A$6:$A$75,3)="711")*Balance!O$6:O$75),0)</f>
        <v>155000</v>
      </c>
      <c r="N6" s="36" t="n">
        <f aca="false">IFERROR(SUMPRODUCT((LEFT(Balance!$A$6:$A$75,3)="711")*Balance!P$6:P$75),0)</f>
        <v>154000</v>
      </c>
      <c r="O6" s="36" t="n">
        <f aca="false">IFERROR(SUMPRODUCT((LEFT(Balance!$A$6:$A$75,3)="711")*Balance!Q$6:Q$75),0)</f>
        <v>161000</v>
      </c>
      <c r="P6" s="27" t="n">
        <f aca="false">SUM(D6:O6)</f>
        <v>1726000</v>
      </c>
    </row>
    <row r="7" customFormat="false" ht="15" hidden="false" customHeight="false" outlineLevel="0" collapsed="false">
      <c r="A7" s="28"/>
      <c r="B7" s="10" t="s">
        <v>215</v>
      </c>
      <c r="C7" s="35" t="s">
        <v>216</v>
      </c>
      <c r="D7" s="36" t="n">
        <f aca="false">IFERROR(SUMPRODUCT((LEFT(Balance!$A$6:$A$75,3)="712")*Balance!F$6:F$75),0)</f>
        <v>6333000</v>
      </c>
      <c r="E7" s="36" t="n">
        <f aca="false">IFERROR(SUMPRODUCT((LEFT(Balance!$A$6:$A$75,3)="712")*Balance!G$6:G$75),0)</f>
        <v>6727000</v>
      </c>
      <c r="F7" s="36" t="n">
        <f aca="false">IFERROR(SUMPRODUCT((LEFT(Balance!$A$6:$A$75,3)="712")*Balance!H$6:H$75),0)</f>
        <v>7382000</v>
      </c>
      <c r="G7" s="36" t="n">
        <f aca="false">IFERROR(SUMPRODUCT((LEFT(Balance!$A$6:$A$75,3)="712")*Balance!I$6:I$75),0)</f>
        <v>6999000</v>
      </c>
      <c r="H7" s="36" t="n">
        <f aca="false">IFERROR(SUMPRODUCT((LEFT(Balance!$A$6:$A$75,3)="712")*Balance!J$6:J$75),0)</f>
        <v>7359000</v>
      </c>
      <c r="I7" s="36" t="n">
        <f aca="false">IFERROR(SUMPRODUCT((LEFT(Balance!$A$6:$A$75,3)="712")*Balance!K$6:K$75),0)</f>
        <v>7651000</v>
      </c>
      <c r="J7" s="36" t="n">
        <f aca="false">IFERROR(SUMPRODUCT((LEFT(Balance!$A$6:$A$75,3)="712")*Balance!L$6:L$75),0)</f>
        <v>7233000</v>
      </c>
      <c r="K7" s="36" t="n">
        <f aca="false">IFERROR(SUMPRODUCT((LEFT(Balance!$A$6:$A$75,3)="712")*Balance!M$6:M$75),0)</f>
        <v>5851000</v>
      </c>
      <c r="L7" s="36" t="n">
        <f aca="false">IFERROR(SUMPRODUCT((LEFT(Balance!$A$6:$A$75,3)="712")*Balance!N$6:N$75),0)</f>
        <v>7203000</v>
      </c>
      <c r="M7" s="36" t="n">
        <f aca="false">IFERROR(SUMPRODUCT((LEFT(Balance!$A$6:$A$75,3)="712")*Balance!O$6:O$75),0)</f>
        <v>7739000</v>
      </c>
      <c r="N7" s="36" t="n">
        <f aca="false">IFERROR(SUMPRODUCT((LEFT(Balance!$A$6:$A$75,3)="712")*Balance!P$6:P$75),0)</f>
        <v>7713000</v>
      </c>
      <c r="O7" s="36" t="n">
        <f aca="false">IFERROR(SUMPRODUCT((LEFT(Balance!$A$6:$A$75,3)="712")*Balance!Q$6:Q$75),0)</f>
        <v>8059000</v>
      </c>
      <c r="P7" s="27" t="n">
        <f aca="false">SUM(D7:O7)</f>
        <v>86249000</v>
      </c>
    </row>
    <row r="8" customFormat="false" ht="15" hidden="false" customHeight="false" outlineLevel="0" collapsed="false">
      <c r="B8" s="37" t="s">
        <v>217</v>
      </c>
      <c r="D8" s="33" t="n">
        <f aca="false">D6+D7</f>
        <v>6460000</v>
      </c>
      <c r="E8" s="33" t="n">
        <f aca="false">E6+E7</f>
        <v>6862000</v>
      </c>
      <c r="F8" s="33" t="n">
        <f aca="false">F6+F7</f>
        <v>7530000</v>
      </c>
      <c r="G8" s="33" t="n">
        <f aca="false">G6+G7</f>
        <v>7139000</v>
      </c>
      <c r="H8" s="33" t="n">
        <f aca="false">H6+H7</f>
        <v>7506000</v>
      </c>
      <c r="I8" s="33" t="n">
        <f aca="false">I6+I7</f>
        <v>7804000</v>
      </c>
      <c r="J8" s="33" t="n">
        <f aca="false">J6+J7</f>
        <v>7378000</v>
      </c>
      <c r="K8" s="33" t="n">
        <f aca="false">K6+K7</f>
        <v>5968000</v>
      </c>
      <c r="L8" s="33" t="n">
        <f aca="false">L6+L7</f>
        <v>7347000</v>
      </c>
      <c r="M8" s="33" t="n">
        <f aca="false">M6+M7</f>
        <v>7894000</v>
      </c>
      <c r="N8" s="33" t="n">
        <f aca="false">N6+N7</f>
        <v>7867000</v>
      </c>
      <c r="O8" s="33" t="n">
        <f aca="false">O6+O7</f>
        <v>8220000</v>
      </c>
      <c r="P8" s="33" t="n">
        <f aca="false">SUM(D8:O8)</f>
        <v>87975000</v>
      </c>
    </row>
    <row r="9" customFormat="false" ht="15" hidden="false" customHeight="false" outlineLevel="0" collapsed="false">
      <c r="A9" s="28"/>
      <c r="B9" s="10" t="s">
        <v>218</v>
      </c>
      <c r="C9" s="35" t="s">
        <v>219</v>
      </c>
      <c r="D9" s="36" t="n">
        <f aca="false">IFERROR(SUMPRODUCT((LEFT(Balance!$A$6:$A$75,3)="713")*Balance!F$6:F$75),0)</f>
        <v>-99000</v>
      </c>
      <c r="E9" s="36" t="n">
        <f aca="false">IFERROR(SUMPRODUCT((LEFT(Balance!$A$6:$A$75,3)="713")*Balance!G$6:G$75),0)</f>
        <v>347000</v>
      </c>
      <c r="F9" s="36" t="n">
        <f aca="false">IFERROR(SUMPRODUCT((LEFT(Balance!$A$6:$A$75,3)="713")*Balance!H$6:H$75),0)</f>
        <v>-179000</v>
      </c>
      <c r="G9" s="36" t="n">
        <f aca="false">IFERROR(SUMPRODUCT((LEFT(Balance!$A$6:$A$75,3)="713")*Balance!I$6:I$75),0)</f>
        <v>-154000</v>
      </c>
      <c r="H9" s="36" t="n">
        <f aca="false">IFERROR(SUMPRODUCT((LEFT(Balance!$A$6:$A$75,3)="713")*Balance!J$6:J$75),0)</f>
        <v>306000</v>
      </c>
      <c r="I9" s="36" t="n">
        <f aca="false">IFERROR(SUMPRODUCT((LEFT(Balance!$A$6:$A$75,3)="713")*Balance!K$6:K$75),0)</f>
        <v>135000</v>
      </c>
      <c r="J9" s="36" t="n">
        <f aca="false">IFERROR(SUMPRODUCT((LEFT(Balance!$A$6:$A$75,3)="713")*Balance!L$6:L$75),0)</f>
        <v>132000</v>
      </c>
      <c r="K9" s="36" t="n">
        <f aca="false">IFERROR(SUMPRODUCT((LEFT(Balance!$A$6:$A$75,3)="713")*Balance!M$6:M$75),0)</f>
        <v>63000</v>
      </c>
      <c r="L9" s="36" t="n">
        <f aca="false">IFERROR(SUMPRODUCT((LEFT(Balance!$A$6:$A$75,3)="713")*Balance!N$6:N$75),0)</f>
        <v>-230000</v>
      </c>
      <c r="M9" s="36" t="n">
        <f aca="false">IFERROR(SUMPRODUCT((LEFT(Balance!$A$6:$A$75,3)="713")*Balance!O$6:O$75),0)</f>
        <v>414000</v>
      </c>
      <c r="N9" s="36" t="n">
        <f aca="false">IFERROR(SUMPRODUCT((LEFT(Balance!$A$6:$A$75,3)="713")*Balance!P$6:P$75),0)</f>
        <v>-121000</v>
      </c>
      <c r="O9" s="36" t="n">
        <f aca="false">IFERROR(SUMPRODUCT((LEFT(Balance!$A$6:$A$75,3)="713")*Balance!Q$6:Q$75),0)</f>
        <v>64000</v>
      </c>
      <c r="P9" s="27" t="n">
        <f aca="false">SUM(D9:O9)</f>
        <v>678000</v>
      </c>
    </row>
    <row r="10" customFormat="false" ht="15" hidden="false" customHeight="false" outlineLevel="0" collapsed="false">
      <c r="A10" s="28"/>
      <c r="B10" s="10" t="s">
        <v>220</v>
      </c>
      <c r="C10" s="35" t="s">
        <v>221</v>
      </c>
      <c r="D10" s="36" t="n">
        <f aca="false">IFERROR(SUMPRODUCT((LEFT(Balance!$A$6:$A$75,3)="714")*Balance!F$6:F$75),0)</f>
        <v>0</v>
      </c>
      <c r="E10" s="36" t="n">
        <f aca="false">IFERROR(SUMPRODUCT((LEFT(Balance!$A$6:$A$75,3)="714")*Balance!G$6:G$75),0)</f>
        <v>0</v>
      </c>
      <c r="F10" s="36" t="n">
        <f aca="false">IFERROR(SUMPRODUCT((LEFT(Balance!$A$6:$A$75,3)="714")*Balance!H$6:H$75),0)</f>
        <v>120000</v>
      </c>
      <c r="G10" s="36" t="n">
        <f aca="false">IFERROR(SUMPRODUCT((LEFT(Balance!$A$6:$A$75,3)="714")*Balance!I$6:I$75),0)</f>
        <v>0</v>
      </c>
      <c r="H10" s="36" t="n">
        <f aca="false">IFERROR(SUMPRODUCT((LEFT(Balance!$A$6:$A$75,3)="714")*Balance!J$6:J$75),0)</f>
        <v>0</v>
      </c>
      <c r="I10" s="36" t="n">
        <f aca="false">IFERROR(SUMPRODUCT((LEFT(Balance!$A$6:$A$75,3)="714")*Balance!K$6:K$75),0)</f>
        <v>0</v>
      </c>
      <c r="J10" s="36" t="n">
        <f aca="false">IFERROR(SUMPRODUCT((LEFT(Balance!$A$6:$A$75,3)="714")*Balance!L$6:L$75),0)</f>
        <v>0</v>
      </c>
      <c r="K10" s="36" t="n">
        <f aca="false">IFERROR(SUMPRODUCT((LEFT(Balance!$A$6:$A$75,3)="714")*Balance!M$6:M$75),0)</f>
        <v>0</v>
      </c>
      <c r="L10" s="36" t="n">
        <f aca="false">IFERROR(SUMPRODUCT((LEFT(Balance!$A$6:$A$75,3)="714")*Balance!N$6:N$75),0)</f>
        <v>95000</v>
      </c>
      <c r="M10" s="36" t="n">
        <f aca="false">IFERROR(SUMPRODUCT((LEFT(Balance!$A$6:$A$75,3)="714")*Balance!O$6:O$75),0)</f>
        <v>0</v>
      </c>
      <c r="N10" s="36" t="n">
        <f aca="false">IFERROR(SUMPRODUCT((LEFT(Balance!$A$6:$A$75,3)="714")*Balance!P$6:P$75),0)</f>
        <v>0</v>
      </c>
      <c r="O10" s="36" t="n">
        <f aca="false">IFERROR(SUMPRODUCT((LEFT(Balance!$A$6:$A$75,3)="714")*Balance!Q$6:Q$75),0)</f>
        <v>0</v>
      </c>
      <c r="P10" s="27" t="n">
        <f aca="false">SUM(D10:O10)</f>
        <v>215000</v>
      </c>
    </row>
    <row r="11" customFormat="false" ht="15" hidden="false" customHeight="false" outlineLevel="0" collapsed="false">
      <c r="A11" s="28"/>
      <c r="B11" s="10" t="s">
        <v>222</v>
      </c>
      <c r="C11" s="35" t="s">
        <v>223</v>
      </c>
      <c r="D11" s="36" t="n">
        <f aca="false">IFERROR(SUMPRODUCT((LEFT(Balance!$A$6:$A$75,3)="716")*Balance!F$6:F$75),0)</f>
        <v>40000</v>
      </c>
      <c r="E11" s="36" t="n">
        <f aca="false">IFERROR(SUMPRODUCT((LEFT(Balance!$A$6:$A$75,3)="716")*Balance!G$6:G$75),0)</f>
        <v>40000</v>
      </c>
      <c r="F11" s="36" t="n">
        <f aca="false">IFERROR(SUMPRODUCT((LEFT(Balance!$A$6:$A$75,3)="716")*Balance!H$6:H$75),0)</f>
        <v>40000</v>
      </c>
      <c r="G11" s="36" t="n">
        <f aca="false">IFERROR(SUMPRODUCT((LEFT(Balance!$A$6:$A$75,3)="716")*Balance!I$6:I$75),0)</f>
        <v>40000</v>
      </c>
      <c r="H11" s="36" t="n">
        <f aca="false">IFERROR(SUMPRODUCT((LEFT(Balance!$A$6:$A$75,3)="716")*Balance!J$6:J$75),0)</f>
        <v>40000</v>
      </c>
      <c r="I11" s="36" t="n">
        <f aca="false">IFERROR(SUMPRODUCT((LEFT(Balance!$A$6:$A$75,3)="716")*Balance!K$6:K$75),0)</f>
        <v>40000</v>
      </c>
      <c r="J11" s="36" t="n">
        <f aca="false">IFERROR(SUMPRODUCT((LEFT(Balance!$A$6:$A$75,3)="716")*Balance!L$6:L$75),0)</f>
        <v>40000</v>
      </c>
      <c r="K11" s="36" t="n">
        <f aca="false">IFERROR(SUMPRODUCT((LEFT(Balance!$A$6:$A$75,3)="716")*Balance!M$6:M$75),0)</f>
        <v>40000</v>
      </c>
      <c r="L11" s="36" t="n">
        <f aca="false">IFERROR(SUMPRODUCT((LEFT(Balance!$A$6:$A$75,3)="716")*Balance!N$6:N$75),0)</f>
        <v>40000</v>
      </c>
      <c r="M11" s="36" t="n">
        <f aca="false">IFERROR(SUMPRODUCT((LEFT(Balance!$A$6:$A$75,3)="716")*Balance!O$6:O$75),0)</f>
        <v>40000</v>
      </c>
      <c r="N11" s="36" t="n">
        <f aca="false">IFERROR(SUMPRODUCT((LEFT(Balance!$A$6:$A$75,3)="716")*Balance!P$6:P$75),0)</f>
        <v>40000</v>
      </c>
      <c r="O11" s="36" t="n">
        <f aca="false">IFERROR(SUMPRODUCT((LEFT(Balance!$A$6:$A$75,3)="716")*Balance!Q$6:Q$75),0)</f>
        <v>40000</v>
      </c>
      <c r="P11" s="27" t="n">
        <f aca="false">SUM(D11:O11)</f>
        <v>480000</v>
      </c>
    </row>
    <row r="12" customFormat="false" ht="15" hidden="false" customHeight="false" outlineLevel="0" collapsed="false">
      <c r="A12" s="28"/>
      <c r="B12" s="10" t="s">
        <v>224</v>
      </c>
      <c r="C12" s="35" t="s">
        <v>225</v>
      </c>
      <c r="D12" s="36" t="n">
        <f aca="false">IFERROR(SUMPRODUCT((LEFT(Balance!$A$6:$A$75,3)="718")*Balance!F$6:F$75),0)</f>
        <v>0</v>
      </c>
      <c r="E12" s="36" t="n">
        <f aca="false">IFERROR(SUMPRODUCT((LEFT(Balance!$A$6:$A$75,3)="718")*Balance!G$6:G$75),0)</f>
        <v>0</v>
      </c>
      <c r="F12" s="36" t="n">
        <f aca="false">IFERROR(SUMPRODUCT((LEFT(Balance!$A$6:$A$75,3)="718")*Balance!H$6:H$75),0)</f>
        <v>0</v>
      </c>
      <c r="G12" s="36" t="n">
        <f aca="false">IFERROR(SUMPRODUCT((LEFT(Balance!$A$6:$A$75,3)="718")*Balance!I$6:I$75),0)</f>
        <v>0</v>
      </c>
      <c r="H12" s="36" t="n">
        <f aca="false">IFERROR(SUMPRODUCT((LEFT(Balance!$A$6:$A$75,3)="718")*Balance!J$6:J$75),0)</f>
        <v>0</v>
      </c>
      <c r="I12" s="36" t="n">
        <f aca="false">IFERROR(SUMPRODUCT((LEFT(Balance!$A$6:$A$75,3)="718")*Balance!K$6:K$75),0)</f>
        <v>0</v>
      </c>
      <c r="J12" s="36" t="n">
        <f aca="false">IFERROR(SUMPRODUCT((LEFT(Balance!$A$6:$A$75,3)="718")*Balance!L$6:L$75),0)</f>
        <v>0</v>
      </c>
      <c r="K12" s="36" t="n">
        <f aca="false">IFERROR(SUMPRODUCT((LEFT(Balance!$A$6:$A$75,3)="718")*Balance!M$6:M$75),0)</f>
        <v>0</v>
      </c>
      <c r="L12" s="36" t="n">
        <f aca="false">IFERROR(SUMPRODUCT((LEFT(Balance!$A$6:$A$75,3)="718")*Balance!N$6:N$75),0)</f>
        <v>0</v>
      </c>
      <c r="M12" s="36" t="n">
        <f aca="false">IFERROR(SUMPRODUCT((LEFT(Balance!$A$6:$A$75,3)="718")*Balance!O$6:O$75),0)</f>
        <v>0</v>
      </c>
      <c r="N12" s="36" t="n">
        <f aca="false">IFERROR(SUMPRODUCT((LEFT(Balance!$A$6:$A$75,3)="718")*Balance!P$6:P$75),0)</f>
        <v>0</v>
      </c>
      <c r="O12" s="36" t="n">
        <f aca="false">IFERROR(SUMPRODUCT((LEFT(Balance!$A$6:$A$75,3)="718")*Balance!Q$6:Q$75),0)</f>
        <v>0</v>
      </c>
      <c r="P12" s="27" t="n">
        <f aca="false">SUM(D12:O12)</f>
        <v>0</v>
      </c>
    </row>
    <row r="13" customFormat="false" ht="15" hidden="false" customHeight="false" outlineLevel="0" collapsed="false">
      <c r="A13" s="28"/>
      <c r="B13" s="10" t="s">
        <v>226</v>
      </c>
      <c r="C13" s="35" t="s">
        <v>227</v>
      </c>
      <c r="D13" s="36" t="n">
        <f aca="false">IFERROR(SUMPRODUCT((LEFT(Balance!$A$6:$A$75,3)="719")*Balance!F$6:F$75),0)</f>
        <v>25000</v>
      </c>
      <c r="E13" s="36" t="n">
        <f aca="false">IFERROR(SUMPRODUCT((LEFT(Balance!$A$6:$A$75,3)="719")*Balance!G$6:G$75),0)</f>
        <v>25000</v>
      </c>
      <c r="F13" s="36" t="n">
        <f aca="false">IFERROR(SUMPRODUCT((LEFT(Balance!$A$6:$A$75,3)="719")*Balance!H$6:H$75),0)</f>
        <v>25000</v>
      </c>
      <c r="G13" s="36" t="n">
        <f aca="false">IFERROR(SUMPRODUCT((LEFT(Balance!$A$6:$A$75,3)="719")*Balance!I$6:I$75),0)</f>
        <v>25000</v>
      </c>
      <c r="H13" s="36" t="n">
        <f aca="false">IFERROR(SUMPRODUCT((LEFT(Balance!$A$6:$A$75,3)="719")*Balance!J$6:J$75),0)</f>
        <v>25000</v>
      </c>
      <c r="I13" s="36" t="n">
        <f aca="false">IFERROR(SUMPRODUCT((LEFT(Balance!$A$6:$A$75,3)="719")*Balance!K$6:K$75),0)</f>
        <v>25000</v>
      </c>
      <c r="J13" s="36" t="n">
        <f aca="false">IFERROR(SUMPRODUCT((LEFT(Balance!$A$6:$A$75,3)="719")*Balance!L$6:L$75),0)</f>
        <v>25000</v>
      </c>
      <c r="K13" s="36" t="n">
        <f aca="false">IFERROR(SUMPRODUCT((LEFT(Balance!$A$6:$A$75,3)="719")*Balance!M$6:M$75),0)</f>
        <v>25000</v>
      </c>
      <c r="L13" s="36" t="n">
        <f aca="false">IFERROR(SUMPRODUCT((LEFT(Balance!$A$6:$A$75,3)="719")*Balance!N$6:N$75),0)</f>
        <v>25000</v>
      </c>
      <c r="M13" s="36" t="n">
        <f aca="false">IFERROR(SUMPRODUCT((LEFT(Balance!$A$6:$A$75,3)="719")*Balance!O$6:O$75),0)</f>
        <v>25000</v>
      </c>
      <c r="N13" s="36" t="n">
        <f aca="false">IFERROR(SUMPRODUCT((LEFT(Balance!$A$6:$A$75,3)="719")*Balance!P$6:P$75),0)</f>
        <v>25000</v>
      </c>
      <c r="O13" s="36" t="n">
        <f aca="false">IFERROR(SUMPRODUCT((LEFT(Balance!$A$6:$A$75,3)="719")*Balance!Q$6:Q$75),0)</f>
        <v>60000</v>
      </c>
      <c r="P13" s="27" t="n">
        <f aca="false">SUM(D13:O13)</f>
        <v>335000</v>
      </c>
    </row>
    <row r="14" customFormat="false" ht="15" hidden="false" customHeight="false" outlineLevel="0" collapsed="false">
      <c r="A14" s="29"/>
      <c r="B14" s="38" t="s">
        <v>228</v>
      </c>
      <c r="C14" s="29"/>
      <c r="D14" s="31" t="n">
        <f aca="false">D8+D9+D10+D11+D12+D13</f>
        <v>6426000</v>
      </c>
      <c r="E14" s="31" t="n">
        <f aca="false">E8+E9+E10+E11+E12+E13</f>
        <v>7274000</v>
      </c>
      <c r="F14" s="31" t="n">
        <f aca="false">F8+F9+F10+F11+F12+F13</f>
        <v>7536000</v>
      </c>
      <c r="G14" s="31" t="n">
        <f aca="false">G8+G9+G10+G11+G12+G13</f>
        <v>7050000</v>
      </c>
      <c r="H14" s="31" t="n">
        <f aca="false">H8+H9+H10+H11+H12+H13</f>
        <v>7877000</v>
      </c>
      <c r="I14" s="31" t="n">
        <f aca="false">I8+I9+I10+I11+I12+I13</f>
        <v>8004000</v>
      </c>
      <c r="J14" s="31" t="n">
        <f aca="false">J8+J9+J10+J11+J12+J13</f>
        <v>7575000</v>
      </c>
      <c r="K14" s="31" t="n">
        <f aca="false">K8+K9+K10+K11+K12+K13</f>
        <v>6096000</v>
      </c>
      <c r="L14" s="31" t="n">
        <f aca="false">L8+L9+L10+L11+L12+L13</f>
        <v>7277000</v>
      </c>
      <c r="M14" s="31" t="n">
        <f aca="false">M8+M9+M10+M11+M12+M13</f>
        <v>8373000</v>
      </c>
      <c r="N14" s="31" t="n">
        <f aca="false">N8+N9+N10+N11+N12+N13</f>
        <v>7811000</v>
      </c>
      <c r="O14" s="31" t="n">
        <f aca="false">O8+O9+O10+O11+O12+O13</f>
        <v>8384000</v>
      </c>
      <c r="P14" s="31" t="n">
        <f aca="false">SUM(D14:O14)</f>
        <v>89683000</v>
      </c>
    </row>
    <row r="15" customFormat="false" ht="15" hidden="false" customHeight="false" outlineLevel="0" collapsed="false">
      <c r="A15" s="34" t="s">
        <v>229</v>
      </c>
      <c r="B15" s="23" t="s">
        <v>230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15" hidden="false" customHeight="false" outlineLevel="0" collapsed="false">
      <c r="A16" s="28"/>
      <c r="B16" s="10" t="s">
        <v>231</v>
      </c>
      <c r="C16" s="35" t="s">
        <v>232</v>
      </c>
      <c r="D16" s="36" t="n">
        <f aca="false">IFERROR(SUMPRODUCT((LEFT(Balance!$A$6:$A$75,3)="611")*Balance!F$6:F$75),0)</f>
        <v>94000</v>
      </c>
      <c r="E16" s="36" t="n">
        <f aca="false">IFERROR(SUMPRODUCT((LEFT(Balance!$A$6:$A$75,3)="611")*Balance!G$6:G$75),0)</f>
        <v>100000</v>
      </c>
      <c r="F16" s="36" t="n">
        <f aca="false">IFERROR(SUMPRODUCT((LEFT(Balance!$A$6:$A$75,3)="611")*Balance!H$6:H$75),0)</f>
        <v>110000</v>
      </c>
      <c r="G16" s="36" t="n">
        <f aca="false">IFERROR(SUMPRODUCT((LEFT(Balance!$A$6:$A$75,3)="611")*Balance!I$6:I$75),0)</f>
        <v>104000</v>
      </c>
      <c r="H16" s="36" t="n">
        <f aca="false">IFERROR(SUMPRODUCT((LEFT(Balance!$A$6:$A$75,3)="611")*Balance!J$6:J$75),0)</f>
        <v>109000</v>
      </c>
      <c r="I16" s="36" t="n">
        <f aca="false">IFERROR(SUMPRODUCT((LEFT(Balance!$A$6:$A$75,3)="611")*Balance!K$6:K$75),0)</f>
        <v>113000</v>
      </c>
      <c r="J16" s="36" t="n">
        <f aca="false">IFERROR(SUMPRODUCT((LEFT(Balance!$A$6:$A$75,3)="611")*Balance!L$6:L$75),0)</f>
        <v>107000</v>
      </c>
      <c r="K16" s="36" t="n">
        <f aca="false">IFERROR(SUMPRODUCT((LEFT(Balance!$A$6:$A$75,3)="611")*Balance!M$6:M$75),0)</f>
        <v>87000</v>
      </c>
      <c r="L16" s="36" t="n">
        <f aca="false">IFERROR(SUMPRODUCT((LEFT(Balance!$A$6:$A$75,3)="611")*Balance!N$6:N$75),0)</f>
        <v>107000</v>
      </c>
      <c r="M16" s="36" t="n">
        <f aca="false">IFERROR(SUMPRODUCT((LEFT(Balance!$A$6:$A$75,3)="611")*Balance!O$6:O$75),0)</f>
        <v>115000</v>
      </c>
      <c r="N16" s="36" t="n">
        <f aca="false">IFERROR(SUMPRODUCT((LEFT(Balance!$A$6:$A$75,3)="611")*Balance!P$6:P$75),0)</f>
        <v>114000</v>
      </c>
      <c r="O16" s="36" t="n">
        <f aca="false">IFERROR(SUMPRODUCT((LEFT(Balance!$A$6:$A$75,3)="611")*Balance!Q$6:Q$75),0)</f>
        <v>119000</v>
      </c>
      <c r="P16" s="27" t="n">
        <f aca="false">SUM(D16:O16)</f>
        <v>1279000</v>
      </c>
    </row>
    <row r="17" customFormat="false" ht="15" hidden="false" customHeight="false" outlineLevel="0" collapsed="false">
      <c r="A17" s="28"/>
      <c r="B17" s="10" t="s">
        <v>233</v>
      </c>
      <c r="C17" s="35" t="s">
        <v>234</v>
      </c>
      <c r="D17" s="36" t="n">
        <f aca="false">IFERROR(SUMPRODUCT((LEFT(Balance!$A$6:$A$75,3)="612")*Balance!F$6:F$75),0)</f>
        <v>3086000</v>
      </c>
      <c r="E17" s="36" t="n">
        <f aca="false">IFERROR(SUMPRODUCT((LEFT(Balance!$A$6:$A$75,3)="612")*Balance!G$6:G$75),0)</f>
        <v>3502000</v>
      </c>
      <c r="F17" s="36" t="n">
        <f aca="false">IFERROR(SUMPRODUCT((LEFT(Balance!$A$6:$A$75,3)="612")*Balance!H$6:H$75),0)</f>
        <v>3625000</v>
      </c>
      <c r="G17" s="36" t="n">
        <f aca="false">IFERROR(SUMPRODUCT((LEFT(Balance!$A$6:$A$75,3)="612")*Balance!I$6:I$75),0)</f>
        <v>3388000</v>
      </c>
      <c r="H17" s="36" t="n">
        <f aca="false">IFERROR(SUMPRODUCT((LEFT(Balance!$A$6:$A$75,3)="612")*Balance!J$6:J$75),0)</f>
        <v>3794000</v>
      </c>
      <c r="I17" s="36" t="n">
        <f aca="false">IFERROR(SUMPRODUCT((LEFT(Balance!$A$6:$A$75,3)="612")*Balance!K$6:K$75),0)</f>
        <v>3855000</v>
      </c>
      <c r="J17" s="36" t="n">
        <f aca="false">IFERROR(SUMPRODUCT((LEFT(Balance!$A$6:$A$75,3)="612")*Balance!L$6:L$75),0)</f>
        <v>3646000</v>
      </c>
      <c r="K17" s="36" t="n">
        <f aca="false">IFERROR(SUMPRODUCT((LEFT(Balance!$A$6:$A$75,3)="612")*Balance!M$6:M$75),0)</f>
        <v>2927000</v>
      </c>
      <c r="L17" s="36" t="n">
        <f aca="false">IFERROR(SUMPRODUCT((LEFT(Balance!$A$6:$A$75,3)="612")*Balance!N$6:N$75),0)</f>
        <v>3498000</v>
      </c>
      <c r="M17" s="36" t="n">
        <f aca="false">IFERROR(SUMPRODUCT((LEFT(Balance!$A$6:$A$75,3)="612")*Balance!O$6:O$75),0)</f>
        <v>4036000</v>
      </c>
      <c r="N17" s="36" t="n">
        <f aca="false">IFERROR(SUMPRODUCT((LEFT(Balance!$A$6:$A$75,3)="612")*Balance!P$6:P$75),0)</f>
        <v>3759000</v>
      </c>
      <c r="O17" s="36" t="n">
        <f aca="false">IFERROR(SUMPRODUCT((LEFT(Balance!$A$6:$A$75,3)="612")*Balance!Q$6:Q$75),0)</f>
        <v>4021000</v>
      </c>
      <c r="P17" s="27" t="n">
        <f aca="false">SUM(D17:O17)</f>
        <v>43137000</v>
      </c>
    </row>
    <row r="18" customFormat="false" ht="15" hidden="false" customHeight="false" outlineLevel="0" collapsed="false">
      <c r="A18" s="28"/>
      <c r="B18" s="10" t="s">
        <v>235</v>
      </c>
      <c r="C18" s="35" t="s">
        <v>236</v>
      </c>
      <c r="D18" s="36" t="n">
        <f aca="false">IFERROR(SUMPRODUCT((LEFT(Balance!$A$6:$A$75,3)="613")*Balance!F$6:F$75)+SUMPRODUCT((LEFT(Balance!$A$6:$A$75,3)="614")*Balance!F$6:F$75),0)</f>
        <v>422000</v>
      </c>
      <c r="E18" s="36" t="n">
        <f aca="false">IFERROR(SUMPRODUCT((LEFT(Balance!$A$6:$A$75,3)="613")*Balance!G$6:G$75)+SUMPRODUCT((LEFT(Balance!$A$6:$A$75,3)="614")*Balance!G$6:G$75),0)</f>
        <v>442000</v>
      </c>
      <c r="F18" s="36" t="n">
        <f aca="false">IFERROR(SUMPRODUCT((LEFT(Balance!$A$6:$A$75,3)="613")*Balance!H$6:H$75)+SUMPRODUCT((LEFT(Balance!$A$6:$A$75,3)="614")*Balance!H$6:H$75),0)</f>
        <v>458000</v>
      </c>
      <c r="G18" s="36" t="n">
        <f aca="false">IFERROR(SUMPRODUCT((LEFT(Balance!$A$6:$A$75,3)="613")*Balance!I$6:I$75)+SUMPRODUCT((LEFT(Balance!$A$6:$A$75,3)="614")*Balance!I$6:I$75),0)</f>
        <v>444000</v>
      </c>
      <c r="H18" s="36" t="n">
        <f aca="false">IFERROR(SUMPRODUCT((LEFT(Balance!$A$6:$A$75,3)="613")*Balance!J$6:J$75)+SUMPRODUCT((LEFT(Balance!$A$6:$A$75,3)="614")*Balance!J$6:J$75),0)</f>
        <v>552000</v>
      </c>
      <c r="I18" s="36" t="n">
        <f aca="false">IFERROR(SUMPRODUCT((LEFT(Balance!$A$6:$A$75,3)="613")*Balance!K$6:K$75)+SUMPRODUCT((LEFT(Balance!$A$6:$A$75,3)="614")*Balance!K$6:K$75),0)</f>
        <v>889000</v>
      </c>
      <c r="J18" s="36" t="n">
        <f aca="false">IFERROR(SUMPRODUCT((LEFT(Balance!$A$6:$A$75,3)="613")*Balance!L$6:L$75)+SUMPRODUCT((LEFT(Balance!$A$6:$A$75,3)="614")*Balance!L$6:L$75),0)</f>
        <v>455000</v>
      </c>
      <c r="K18" s="36" t="n">
        <f aca="false">IFERROR(SUMPRODUCT((LEFT(Balance!$A$6:$A$75,3)="613")*Balance!M$6:M$75)+SUMPRODUCT((LEFT(Balance!$A$6:$A$75,3)="614")*Balance!M$6:M$75),0)</f>
        <v>408000</v>
      </c>
      <c r="L18" s="36" t="n">
        <f aca="false">IFERROR(SUMPRODUCT((LEFT(Balance!$A$6:$A$75,3)="613")*Balance!N$6:N$75)+SUMPRODUCT((LEFT(Balance!$A$6:$A$75,3)="614")*Balance!N$6:N$75),0)</f>
        <v>450000</v>
      </c>
      <c r="M18" s="36" t="n">
        <f aca="false">IFERROR(SUMPRODUCT((LEFT(Balance!$A$6:$A$75,3)="613")*Balance!O$6:O$75)+SUMPRODUCT((LEFT(Balance!$A$6:$A$75,3)="614")*Balance!O$6:O$75),0)</f>
        <v>476000</v>
      </c>
      <c r="N18" s="36" t="n">
        <f aca="false">IFERROR(SUMPRODUCT((LEFT(Balance!$A$6:$A$75,3)="613")*Balance!P$6:P$75)+SUMPRODUCT((LEFT(Balance!$A$6:$A$75,3)="614")*Balance!P$6:P$75),0)</f>
        <v>468000</v>
      </c>
      <c r="O18" s="36" t="n">
        <f aca="false">IFERROR(SUMPRODUCT((LEFT(Balance!$A$6:$A$75,3)="613")*Balance!Q$6:Q$75)+SUMPRODUCT((LEFT(Balance!$A$6:$A$75,3)="614")*Balance!Q$6:Q$75),0)</f>
        <v>482000</v>
      </c>
      <c r="P18" s="27" t="n">
        <f aca="false">SUM(D18:O18)</f>
        <v>5946000</v>
      </c>
    </row>
    <row r="19" customFormat="false" ht="15" hidden="false" customHeight="false" outlineLevel="0" collapsed="false">
      <c r="A19" s="28"/>
      <c r="B19" s="10" t="s">
        <v>237</v>
      </c>
      <c r="C19" s="35" t="s">
        <v>238</v>
      </c>
      <c r="D19" s="36" t="n">
        <f aca="false">IFERROR(SUMPRODUCT((LEFT(Balance!$A$6:$A$75,3)="616")*Balance!F$6:F$75),0)</f>
        <v>25000</v>
      </c>
      <c r="E19" s="36" t="n">
        <f aca="false">IFERROR(SUMPRODUCT((LEFT(Balance!$A$6:$A$75,3)="616")*Balance!G$6:G$75),0)</f>
        <v>25000</v>
      </c>
      <c r="F19" s="36" t="n">
        <f aca="false">IFERROR(SUMPRODUCT((LEFT(Balance!$A$6:$A$75,3)="616")*Balance!H$6:H$75),0)</f>
        <v>25000</v>
      </c>
      <c r="G19" s="36" t="n">
        <f aca="false">IFERROR(SUMPRODUCT((LEFT(Balance!$A$6:$A$75,3)="616")*Balance!I$6:I$75),0)</f>
        <v>25000</v>
      </c>
      <c r="H19" s="36" t="n">
        <f aca="false">IFERROR(SUMPRODUCT((LEFT(Balance!$A$6:$A$75,3)="616")*Balance!J$6:J$75),0)</f>
        <v>25000</v>
      </c>
      <c r="I19" s="36" t="n">
        <f aca="false">IFERROR(SUMPRODUCT((LEFT(Balance!$A$6:$A$75,3)="616")*Balance!K$6:K$75),0)</f>
        <v>25000</v>
      </c>
      <c r="J19" s="36" t="n">
        <f aca="false">IFERROR(SUMPRODUCT((LEFT(Balance!$A$6:$A$75,3)="616")*Balance!L$6:L$75),0)</f>
        <v>25000</v>
      </c>
      <c r="K19" s="36" t="n">
        <f aca="false">IFERROR(SUMPRODUCT((LEFT(Balance!$A$6:$A$75,3)="616")*Balance!M$6:M$75),0)</f>
        <v>25000</v>
      </c>
      <c r="L19" s="36" t="n">
        <f aca="false">IFERROR(SUMPRODUCT((LEFT(Balance!$A$6:$A$75,3)="616")*Balance!N$6:N$75),0)</f>
        <v>25000</v>
      </c>
      <c r="M19" s="36" t="n">
        <f aca="false">IFERROR(SUMPRODUCT((LEFT(Balance!$A$6:$A$75,3)="616")*Balance!O$6:O$75),0)</f>
        <v>25000</v>
      </c>
      <c r="N19" s="36" t="n">
        <f aca="false">IFERROR(SUMPRODUCT((LEFT(Balance!$A$6:$A$75,3)="616")*Balance!P$6:P$75),0)</f>
        <v>25000</v>
      </c>
      <c r="O19" s="36" t="n">
        <f aca="false">IFERROR(SUMPRODUCT((LEFT(Balance!$A$6:$A$75,3)="616")*Balance!Q$6:Q$75),0)</f>
        <v>25000</v>
      </c>
      <c r="P19" s="27" t="n">
        <f aca="false">SUM(D19:O19)</f>
        <v>300000</v>
      </c>
    </row>
    <row r="20" customFormat="false" ht="15" hidden="false" customHeight="false" outlineLevel="0" collapsed="false">
      <c r="A20" s="28"/>
      <c r="B20" s="10" t="s">
        <v>239</v>
      </c>
      <c r="C20" s="35" t="s">
        <v>240</v>
      </c>
      <c r="D20" s="36" t="n">
        <f aca="false">IFERROR(SUMPRODUCT((LEFT(Balance!$A$6:$A$75,3)="617")*Balance!F$6:F$75),0)</f>
        <v>1869000</v>
      </c>
      <c r="E20" s="36" t="n">
        <f aca="false">IFERROR(SUMPRODUCT((LEFT(Balance!$A$6:$A$75,3)="617")*Balance!G$6:G$75),0)</f>
        <v>1876000</v>
      </c>
      <c r="F20" s="36" t="n">
        <f aca="false">IFERROR(SUMPRODUCT((LEFT(Balance!$A$6:$A$75,3)="617")*Balance!H$6:H$75),0)</f>
        <v>1884000</v>
      </c>
      <c r="G20" s="36" t="n">
        <f aca="false">IFERROR(SUMPRODUCT((LEFT(Balance!$A$6:$A$75,3)="617")*Balance!I$6:I$75),0)</f>
        <v>1891000</v>
      </c>
      <c r="H20" s="36" t="n">
        <f aca="false">IFERROR(SUMPRODUCT((LEFT(Balance!$A$6:$A$75,3)="617")*Balance!J$6:J$75),0)</f>
        <v>1898000</v>
      </c>
      <c r="I20" s="36" t="n">
        <f aca="false">IFERROR(SUMPRODUCT((LEFT(Balance!$A$6:$A$75,3)="617")*Balance!K$6:K$75),0)</f>
        <v>1906000</v>
      </c>
      <c r="J20" s="36" t="n">
        <f aca="false">IFERROR(SUMPRODUCT((LEFT(Balance!$A$6:$A$75,3)="617")*Balance!L$6:L$75),0)</f>
        <v>1913000</v>
      </c>
      <c r="K20" s="36" t="n">
        <f aca="false">IFERROR(SUMPRODUCT((LEFT(Balance!$A$6:$A$75,3)="617")*Balance!M$6:M$75),0)</f>
        <v>1921000</v>
      </c>
      <c r="L20" s="36" t="n">
        <f aca="false">IFERROR(SUMPRODUCT((LEFT(Balance!$A$6:$A$75,3)="617")*Balance!N$6:N$75),0)</f>
        <v>1928000</v>
      </c>
      <c r="M20" s="36" t="n">
        <f aca="false">IFERROR(SUMPRODUCT((LEFT(Balance!$A$6:$A$75,3)="617")*Balance!O$6:O$75),0)</f>
        <v>1936000</v>
      </c>
      <c r="N20" s="36" t="n">
        <f aca="false">IFERROR(SUMPRODUCT((LEFT(Balance!$A$6:$A$75,3)="617")*Balance!P$6:P$75),0)</f>
        <v>1943000</v>
      </c>
      <c r="O20" s="36" t="n">
        <f aca="false">IFERROR(SUMPRODUCT((LEFT(Balance!$A$6:$A$75,3)="617")*Balance!Q$6:Q$75),0)</f>
        <v>2095000</v>
      </c>
      <c r="P20" s="27" t="n">
        <f aca="false">SUM(D20:O20)</f>
        <v>23060000</v>
      </c>
    </row>
    <row r="21" customFormat="false" ht="15" hidden="false" customHeight="false" outlineLevel="0" collapsed="false">
      <c r="A21" s="28"/>
      <c r="B21" s="10" t="s">
        <v>241</v>
      </c>
      <c r="C21" s="35" t="s">
        <v>242</v>
      </c>
      <c r="D21" s="36" t="n">
        <f aca="false">IFERROR(SUMPRODUCT((LEFT(Balance!$A$6:$A$75,3)="618")*Balance!F$6:F$75),0)</f>
        <v>0</v>
      </c>
      <c r="E21" s="36" t="n">
        <f aca="false">IFERROR(SUMPRODUCT((LEFT(Balance!$A$6:$A$75,3)="618")*Balance!G$6:G$75),0)</f>
        <v>0</v>
      </c>
      <c r="F21" s="36" t="n">
        <f aca="false">IFERROR(SUMPRODUCT((LEFT(Balance!$A$6:$A$75,3)="618")*Balance!H$6:H$75),0)</f>
        <v>0</v>
      </c>
      <c r="G21" s="36" t="n">
        <f aca="false">IFERROR(SUMPRODUCT((LEFT(Balance!$A$6:$A$75,3)="618")*Balance!I$6:I$75),0)</f>
        <v>0</v>
      </c>
      <c r="H21" s="36" t="n">
        <f aca="false">IFERROR(SUMPRODUCT((LEFT(Balance!$A$6:$A$75,3)="618")*Balance!J$6:J$75),0)</f>
        <v>0</v>
      </c>
      <c r="I21" s="36" t="n">
        <f aca="false">IFERROR(SUMPRODUCT((LEFT(Balance!$A$6:$A$75,3)="618")*Balance!K$6:K$75),0)</f>
        <v>0</v>
      </c>
      <c r="J21" s="36" t="n">
        <f aca="false">IFERROR(SUMPRODUCT((LEFT(Balance!$A$6:$A$75,3)="618")*Balance!L$6:L$75),0)</f>
        <v>0</v>
      </c>
      <c r="K21" s="36" t="n">
        <f aca="false">IFERROR(SUMPRODUCT((LEFT(Balance!$A$6:$A$75,3)="618")*Balance!M$6:M$75),0)</f>
        <v>0</v>
      </c>
      <c r="L21" s="36" t="n">
        <f aca="false">IFERROR(SUMPRODUCT((LEFT(Balance!$A$6:$A$75,3)="618")*Balance!N$6:N$75),0)</f>
        <v>0</v>
      </c>
      <c r="M21" s="36" t="n">
        <f aca="false">IFERROR(SUMPRODUCT((LEFT(Balance!$A$6:$A$75,3)="618")*Balance!O$6:O$75),0)</f>
        <v>0</v>
      </c>
      <c r="N21" s="36" t="n">
        <f aca="false">IFERROR(SUMPRODUCT((LEFT(Balance!$A$6:$A$75,3)="618")*Balance!P$6:P$75),0)</f>
        <v>0</v>
      </c>
      <c r="O21" s="36" t="n">
        <f aca="false">IFERROR(SUMPRODUCT((LEFT(Balance!$A$6:$A$75,3)="618")*Balance!Q$6:Q$75),0)</f>
        <v>35000</v>
      </c>
      <c r="P21" s="27" t="n">
        <f aca="false">SUM(D21:O21)</f>
        <v>35000</v>
      </c>
    </row>
    <row r="22" customFormat="false" ht="15" hidden="false" customHeight="false" outlineLevel="0" collapsed="false">
      <c r="A22" s="28"/>
      <c r="B22" s="10" t="s">
        <v>243</v>
      </c>
      <c r="C22" s="35" t="s">
        <v>244</v>
      </c>
      <c r="D22" s="36" t="n">
        <f aca="false">IFERROR(SUMPRODUCT((LEFT(Balance!$A$6:$A$75,3)="619")*Balance!F$6:F$75),0)</f>
        <v>382500</v>
      </c>
      <c r="E22" s="36" t="n">
        <f aca="false">IFERROR(SUMPRODUCT((LEFT(Balance!$A$6:$A$75,3)="619")*Balance!G$6:G$75),0)</f>
        <v>382500</v>
      </c>
      <c r="F22" s="36" t="n">
        <f aca="false">IFERROR(SUMPRODUCT((LEFT(Balance!$A$6:$A$75,3)="619")*Balance!H$6:H$75),0)</f>
        <v>382500</v>
      </c>
      <c r="G22" s="36" t="n">
        <f aca="false">IFERROR(SUMPRODUCT((LEFT(Balance!$A$6:$A$75,3)="619")*Balance!I$6:I$75),0)</f>
        <v>382500</v>
      </c>
      <c r="H22" s="36" t="n">
        <f aca="false">IFERROR(SUMPRODUCT((LEFT(Balance!$A$6:$A$75,3)="619")*Balance!J$6:J$75),0)</f>
        <v>397500</v>
      </c>
      <c r="I22" s="36" t="n">
        <f aca="false">IFERROR(SUMPRODUCT((LEFT(Balance!$A$6:$A$75,3)="619")*Balance!K$6:K$75),0)</f>
        <v>457500</v>
      </c>
      <c r="J22" s="36" t="n">
        <f aca="false">IFERROR(SUMPRODUCT((LEFT(Balance!$A$6:$A$75,3)="619")*Balance!L$6:L$75),0)</f>
        <v>397500</v>
      </c>
      <c r="K22" s="36" t="n">
        <f aca="false">IFERROR(SUMPRODUCT((LEFT(Balance!$A$6:$A$75,3)="619")*Balance!M$6:M$75),0)</f>
        <v>397500</v>
      </c>
      <c r="L22" s="36" t="n">
        <f aca="false">IFERROR(SUMPRODUCT((LEFT(Balance!$A$6:$A$75,3)="619")*Balance!N$6:N$75),0)</f>
        <v>397500</v>
      </c>
      <c r="M22" s="36" t="n">
        <f aca="false">IFERROR(SUMPRODUCT((LEFT(Balance!$A$6:$A$75,3)="619")*Balance!O$6:O$75),0)</f>
        <v>397500</v>
      </c>
      <c r="N22" s="36" t="n">
        <f aca="false">IFERROR(SUMPRODUCT((LEFT(Balance!$A$6:$A$75,3)="619")*Balance!P$6:P$75),0)</f>
        <v>389500</v>
      </c>
      <c r="O22" s="36" t="n">
        <f aca="false">IFERROR(SUMPRODUCT((LEFT(Balance!$A$6:$A$75,3)="619")*Balance!Q$6:Q$75),0)</f>
        <v>469500</v>
      </c>
      <c r="P22" s="27" t="n">
        <f aca="false">SUM(D22:O22)</f>
        <v>4834000</v>
      </c>
    </row>
    <row r="23" customFormat="false" ht="15" hidden="false" customHeight="false" outlineLevel="0" collapsed="false">
      <c r="A23" s="29"/>
      <c r="B23" s="38" t="s">
        <v>245</v>
      </c>
      <c r="C23" s="29"/>
      <c r="D23" s="31" t="n">
        <f aca="false">D16+D17+D18+D19+D20+D21+D22</f>
        <v>5878500</v>
      </c>
      <c r="E23" s="31" t="n">
        <f aca="false">E16+E17+E18+E19+E20+E21+E22</f>
        <v>6327500</v>
      </c>
      <c r="F23" s="31" t="n">
        <f aca="false">F16+F17+F18+F19+F20+F21+F22</f>
        <v>6484500</v>
      </c>
      <c r="G23" s="31" t="n">
        <f aca="false">G16+G17+G18+G19+G20+G21+G22</f>
        <v>6234500</v>
      </c>
      <c r="H23" s="31" t="n">
        <f aca="false">H16+H17+H18+H19+H20+H21+H22</f>
        <v>6775500</v>
      </c>
      <c r="I23" s="31" t="n">
        <f aca="false">I16+I17+I18+I19+I20+I21+I22</f>
        <v>7245500</v>
      </c>
      <c r="J23" s="31" t="n">
        <f aca="false">J16+J17+J18+J19+J20+J21+J22</f>
        <v>6543500</v>
      </c>
      <c r="K23" s="31" t="n">
        <f aca="false">K16+K17+K18+K19+K20+K21+K22</f>
        <v>5765500</v>
      </c>
      <c r="L23" s="31" t="n">
        <f aca="false">L16+L17+L18+L19+L20+L21+L22</f>
        <v>6405500</v>
      </c>
      <c r="M23" s="31" t="n">
        <f aca="false">M16+M17+M18+M19+M20+M21+M22</f>
        <v>6985500</v>
      </c>
      <c r="N23" s="31" t="n">
        <f aca="false">N16+N17+N18+N19+N20+N21+N22</f>
        <v>6698500</v>
      </c>
      <c r="O23" s="31" t="n">
        <f aca="false">O16+O17+O18+O19+O20+O21+O22</f>
        <v>7246500</v>
      </c>
      <c r="P23" s="31" t="n">
        <f aca="false">SUM(D23:O23)</f>
        <v>78591000</v>
      </c>
    </row>
    <row r="24" customFormat="false" ht="15" hidden="false" customHeight="false" outlineLevel="0" collapsed="false">
      <c r="A24" s="1"/>
      <c r="B24" s="39" t="s">
        <v>246</v>
      </c>
      <c r="C24" s="1"/>
      <c r="D24" s="40" t="n">
        <f aca="false">D14-D23</f>
        <v>547500</v>
      </c>
      <c r="E24" s="40" t="n">
        <f aca="false">E14-E23</f>
        <v>946500</v>
      </c>
      <c r="F24" s="40" t="n">
        <f aca="false">F14-F23</f>
        <v>1051500</v>
      </c>
      <c r="G24" s="40" t="n">
        <f aca="false">G14-G23</f>
        <v>815500</v>
      </c>
      <c r="H24" s="40" t="n">
        <f aca="false">H14-H23</f>
        <v>1101500</v>
      </c>
      <c r="I24" s="40" t="n">
        <f aca="false">I14-I23</f>
        <v>758500</v>
      </c>
      <c r="J24" s="40" t="n">
        <f aca="false">J14-J23</f>
        <v>1031500</v>
      </c>
      <c r="K24" s="40" t="n">
        <f aca="false">K14-K23</f>
        <v>330500</v>
      </c>
      <c r="L24" s="40" t="n">
        <f aca="false">L14-L23</f>
        <v>871500</v>
      </c>
      <c r="M24" s="40" t="n">
        <f aca="false">M14-M23</f>
        <v>1387500</v>
      </c>
      <c r="N24" s="40" t="n">
        <f aca="false">N14-N23</f>
        <v>1112500</v>
      </c>
      <c r="O24" s="40" t="n">
        <f aca="false">O14-O23</f>
        <v>1137500</v>
      </c>
      <c r="P24" s="40" t="n">
        <f aca="false">SUM(D24:O24)</f>
        <v>11092000</v>
      </c>
    </row>
    <row r="25" customFormat="false" ht="15" hidden="false" customHeight="false" outlineLevel="0" collapsed="false">
      <c r="A25" s="34" t="s">
        <v>247</v>
      </c>
      <c r="B25" s="23" t="s">
        <v>248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28"/>
      <c r="B26" s="10" t="s">
        <v>249</v>
      </c>
      <c r="C26" s="35" t="s">
        <v>250</v>
      </c>
      <c r="D26" s="36" t="n">
        <f aca="false">IFERROR(SUMPRODUCT((LEFT(Balance!$A$6:$A$75,3)="732")*Balance!F$6:F$75),0)</f>
        <v>0</v>
      </c>
      <c r="E26" s="36" t="n">
        <f aca="false">IFERROR(SUMPRODUCT((LEFT(Balance!$A$6:$A$75,3)="732")*Balance!G$6:G$75),0)</f>
        <v>0</v>
      </c>
      <c r="F26" s="36" t="n">
        <f aca="false">IFERROR(SUMPRODUCT((LEFT(Balance!$A$6:$A$75,3)="732")*Balance!H$6:H$75),0)</f>
        <v>0</v>
      </c>
      <c r="G26" s="36" t="n">
        <f aca="false">IFERROR(SUMPRODUCT((LEFT(Balance!$A$6:$A$75,3)="732")*Balance!I$6:I$75),0)</f>
        <v>0</v>
      </c>
      <c r="H26" s="36" t="n">
        <f aca="false">IFERROR(SUMPRODUCT((LEFT(Balance!$A$6:$A$75,3)="732")*Balance!J$6:J$75),0)</f>
        <v>0</v>
      </c>
      <c r="I26" s="36" t="n">
        <f aca="false">IFERROR(SUMPRODUCT((LEFT(Balance!$A$6:$A$75,3)="732")*Balance!K$6:K$75),0)</f>
        <v>0</v>
      </c>
      <c r="J26" s="36" t="n">
        <f aca="false">IFERROR(SUMPRODUCT((LEFT(Balance!$A$6:$A$75,3)="732")*Balance!L$6:L$75),0)</f>
        <v>0</v>
      </c>
      <c r="K26" s="36" t="n">
        <f aca="false">IFERROR(SUMPRODUCT((LEFT(Balance!$A$6:$A$75,3)="732")*Balance!M$6:M$75),0)</f>
        <v>0</v>
      </c>
      <c r="L26" s="36" t="n">
        <f aca="false">IFERROR(SUMPRODUCT((LEFT(Balance!$A$6:$A$75,3)="732")*Balance!N$6:N$75),0)</f>
        <v>0</v>
      </c>
      <c r="M26" s="36" t="n">
        <f aca="false">IFERROR(SUMPRODUCT((LEFT(Balance!$A$6:$A$75,3)="732")*Balance!O$6:O$75),0)</f>
        <v>0</v>
      </c>
      <c r="N26" s="36" t="n">
        <f aca="false">IFERROR(SUMPRODUCT((LEFT(Balance!$A$6:$A$75,3)="732")*Balance!P$6:P$75),0)</f>
        <v>0</v>
      </c>
      <c r="O26" s="36" t="n">
        <f aca="false">IFERROR(SUMPRODUCT((LEFT(Balance!$A$6:$A$75,3)="732")*Balance!Q$6:Q$75),0)</f>
        <v>0</v>
      </c>
      <c r="P26" s="27" t="n">
        <f aca="false">SUM(D26:O26)</f>
        <v>0</v>
      </c>
    </row>
    <row r="27" customFormat="false" ht="15" hidden="false" customHeight="false" outlineLevel="0" collapsed="false">
      <c r="A27" s="28"/>
      <c r="B27" s="10" t="s">
        <v>251</v>
      </c>
      <c r="C27" s="35" t="s">
        <v>252</v>
      </c>
      <c r="D27" s="36" t="n">
        <f aca="false">IFERROR(SUMPRODUCT((LEFT(Balance!$A$6:$A$75,3)="733")*Balance!F$6:F$75),0)</f>
        <v>47000</v>
      </c>
      <c r="E27" s="36" t="n">
        <f aca="false">IFERROR(SUMPRODUCT((LEFT(Balance!$A$6:$A$75,3)="733")*Balance!G$6:G$75),0)</f>
        <v>111000</v>
      </c>
      <c r="F27" s="36" t="n">
        <f aca="false">IFERROR(SUMPRODUCT((LEFT(Balance!$A$6:$A$75,3)="733")*Balance!H$6:H$75),0)</f>
        <v>110000</v>
      </c>
      <c r="G27" s="36" t="n">
        <f aca="false">IFERROR(SUMPRODUCT((LEFT(Balance!$A$6:$A$75,3)="733")*Balance!I$6:I$75),0)</f>
        <v>86000</v>
      </c>
      <c r="H27" s="36" t="n">
        <f aca="false">IFERROR(SUMPRODUCT((LEFT(Balance!$A$6:$A$75,3)="733")*Balance!J$6:J$75),0)</f>
        <v>65000</v>
      </c>
      <c r="I27" s="36" t="n">
        <f aca="false">IFERROR(SUMPRODUCT((LEFT(Balance!$A$6:$A$75,3)="733")*Balance!K$6:K$75),0)</f>
        <v>66000</v>
      </c>
      <c r="J27" s="36" t="n">
        <f aca="false">IFERROR(SUMPRODUCT((LEFT(Balance!$A$6:$A$75,3)="733")*Balance!L$6:L$75),0)</f>
        <v>105000</v>
      </c>
      <c r="K27" s="36" t="n">
        <f aca="false">IFERROR(SUMPRODUCT((LEFT(Balance!$A$6:$A$75,3)="733")*Balance!M$6:M$75),0)</f>
        <v>53000</v>
      </c>
      <c r="L27" s="36" t="n">
        <f aca="false">IFERROR(SUMPRODUCT((LEFT(Balance!$A$6:$A$75,3)="733")*Balance!N$6:N$75),0)</f>
        <v>98000</v>
      </c>
      <c r="M27" s="36" t="n">
        <f aca="false">IFERROR(SUMPRODUCT((LEFT(Balance!$A$6:$A$75,3)="733")*Balance!O$6:O$75),0)</f>
        <v>46000</v>
      </c>
      <c r="N27" s="36" t="n">
        <f aca="false">IFERROR(SUMPRODUCT((LEFT(Balance!$A$6:$A$75,3)="733")*Balance!P$6:P$75),0)</f>
        <v>69000</v>
      </c>
      <c r="O27" s="36" t="n">
        <f aca="false">IFERROR(SUMPRODUCT((LEFT(Balance!$A$6:$A$75,3)="733")*Balance!Q$6:Q$75),0)</f>
        <v>105000</v>
      </c>
      <c r="P27" s="27" t="n">
        <f aca="false">SUM(D27:O27)</f>
        <v>961000</v>
      </c>
    </row>
    <row r="28" customFormat="false" ht="15" hidden="false" customHeight="false" outlineLevel="0" collapsed="false">
      <c r="A28" s="28"/>
      <c r="B28" s="10" t="s">
        <v>253</v>
      </c>
      <c r="C28" s="35" t="s">
        <v>254</v>
      </c>
      <c r="D28" s="36" t="n">
        <f aca="false">IFERROR(SUMPRODUCT((LEFT(Balance!$A$6:$A$75,3)="738")*Balance!F$6:F$75),0)</f>
        <v>5000</v>
      </c>
      <c r="E28" s="36" t="n">
        <f aca="false">IFERROR(SUMPRODUCT((LEFT(Balance!$A$6:$A$75,3)="738")*Balance!G$6:G$75),0)</f>
        <v>5000</v>
      </c>
      <c r="F28" s="36" t="n">
        <f aca="false">IFERROR(SUMPRODUCT((LEFT(Balance!$A$6:$A$75,3)="738")*Balance!H$6:H$75),0)</f>
        <v>5000</v>
      </c>
      <c r="G28" s="36" t="n">
        <f aca="false">IFERROR(SUMPRODUCT((LEFT(Balance!$A$6:$A$75,3)="738")*Balance!I$6:I$75),0)</f>
        <v>5000</v>
      </c>
      <c r="H28" s="36" t="n">
        <f aca="false">IFERROR(SUMPRODUCT((LEFT(Balance!$A$6:$A$75,3)="738")*Balance!J$6:J$75),0)</f>
        <v>5000</v>
      </c>
      <c r="I28" s="36" t="n">
        <f aca="false">IFERROR(SUMPRODUCT((LEFT(Balance!$A$6:$A$75,3)="738")*Balance!K$6:K$75),0)</f>
        <v>5000</v>
      </c>
      <c r="J28" s="36" t="n">
        <f aca="false">IFERROR(SUMPRODUCT((LEFT(Balance!$A$6:$A$75,3)="738")*Balance!L$6:L$75),0)</f>
        <v>5000</v>
      </c>
      <c r="K28" s="36" t="n">
        <f aca="false">IFERROR(SUMPRODUCT((LEFT(Balance!$A$6:$A$75,3)="738")*Balance!M$6:M$75),0)</f>
        <v>5000</v>
      </c>
      <c r="L28" s="36" t="n">
        <f aca="false">IFERROR(SUMPRODUCT((LEFT(Balance!$A$6:$A$75,3)="738")*Balance!N$6:N$75),0)</f>
        <v>5000</v>
      </c>
      <c r="M28" s="36" t="n">
        <f aca="false">IFERROR(SUMPRODUCT((LEFT(Balance!$A$6:$A$75,3)="738")*Balance!O$6:O$75),0)</f>
        <v>5000</v>
      </c>
      <c r="N28" s="36" t="n">
        <f aca="false">IFERROR(SUMPRODUCT((LEFT(Balance!$A$6:$A$75,3)="738")*Balance!P$6:P$75),0)</f>
        <v>5000</v>
      </c>
      <c r="O28" s="36" t="n">
        <f aca="false">IFERROR(SUMPRODUCT((LEFT(Balance!$A$6:$A$75,3)="738")*Balance!Q$6:Q$75),0)</f>
        <v>5000</v>
      </c>
      <c r="P28" s="27" t="n">
        <f aca="false">SUM(D28:O28)</f>
        <v>60000</v>
      </c>
    </row>
    <row r="29" customFormat="false" ht="15" hidden="false" customHeight="false" outlineLevel="0" collapsed="false">
      <c r="A29" s="28"/>
      <c r="B29" s="10" t="s">
        <v>255</v>
      </c>
      <c r="C29" s="35" t="s">
        <v>256</v>
      </c>
      <c r="D29" s="36" t="n">
        <f aca="false">IFERROR(SUMPRODUCT((LEFT(Balance!$A$6:$A$75,3)="739")*Balance!F$6:F$75),0)</f>
        <v>0</v>
      </c>
      <c r="E29" s="36" t="n">
        <f aca="false">IFERROR(SUMPRODUCT((LEFT(Balance!$A$6:$A$75,3)="739")*Balance!G$6:G$75),0)</f>
        <v>0</v>
      </c>
      <c r="F29" s="36" t="n">
        <f aca="false">IFERROR(SUMPRODUCT((LEFT(Balance!$A$6:$A$75,3)="739")*Balance!H$6:H$75),0)</f>
        <v>0</v>
      </c>
      <c r="G29" s="36" t="n">
        <f aca="false">IFERROR(SUMPRODUCT((LEFT(Balance!$A$6:$A$75,3)="739")*Balance!I$6:I$75),0)</f>
        <v>0</v>
      </c>
      <c r="H29" s="36" t="n">
        <f aca="false">IFERROR(SUMPRODUCT((LEFT(Balance!$A$6:$A$75,3)="739")*Balance!J$6:J$75),0)</f>
        <v>0</v>
      </c>
      <c r="I29" s="36" t="n">
        <f aca="false">IFERROR(SUMPRODUCT((LEFT(Balance!$A$6:$A$75,3)="739")*Balance!K$6:K$75),0)</f>
        <v>0</v>
      </c>
      <c r="J29" s="36" t="n">
        <f aca="false">IFERROR(SUMPRODUCT((LEFT(Balance!$A$6:$A$75,3)="739")*Balance!L$6:L$75),0)</f>
        <v>0</v>
      </c>
      <c r="K29" s="36" t="n">
        <f aca="false">IFERROR(SUMPRODUCT((LEFT(Balance!$A$6:$A$75,3)="739")*Balance!M$6:M$75),0)</f>
        <v>0</v>
      </c>
      <c r="L29" s="36" t="n">
        <f aca="false">IFERROR(SUMPRODUCT((LEFT(Balance!$A$6:$A$75,3)="739")*Balance!N$6:N$75),0)</f>
        <v>0</v>
      </c>
      <c r="M29" s="36" t="n">
        <f aca="false">IFERROR(SUMPRODUCT((LEFT(Balance!$A$6:$A$75,3)="739")*Balance!O$6:O$75),0)</f>
        <v>0</v>
      </c>
      <c r="N29" s="36" t="n">
        <f aca="false">IFERROR(SUMPRODUCT((LEFT(Balance!$A$6:$A$75,3)="739")*Balance!P$6:P$75),0)</f>
        <v>0</v>
      </c>
      <c r="O29" s="36" t="n">
        <f aca="false">IFERROR(SUMPRODUCT((LEFT(Balance!$A$6:$A$75,3)="739")*Balance!Q$6:Q$75),0)</f>
        <v>0</v>
      </c>
      <c r="P29" s="27" t="n">
        <f aca="false">SUM(D29:O29)</f>
        <v>0</v>
      </c>
    </row>
    <row r="30" customFormat="false" ht="15" hidden="false" customHeight="false" outlineLevel="0" collapsed="false">
      <c r="A30" s="29"/>
      <c r="B30" s="38" t="s">
        <v>257</v>
      </c>
      <c r="C30" s="29"/>
      <c r="D30" s="31" t="n">
        <f aca="false">D26+D27+D28+D29</f>
        <v>52000</v>
      </c>
      <c r="E30" s="31" t="n">
        <f aca="false">E26+E27+E28+E29</f>
        <v>116000</v>
      </c>
      <c r="F30" s="31" t="n">
        <f aca="false">F26+F27+F28+F29</f>
        <v>115000</v>
      </c>
      <c r="G30" s="31" t="n">
        <f aca="false">G26+G27+G28+G29</f>
        <v>91000</v>
      </c>
      <c r="H30" s="31" t="n">
        <f aca="false">H26+H27+H28+H29</f>
        <v>70000</v>
      </c>
      <c r="I30" s="31" t="n">
        <f aca="false">I26+I27+I28+I29</f>
        <v>71000</v>
      </c>
      <c r="J30" s="31" t="n">
        <f aca="false">J26+J27+J28+J29</f>
        <v>110000</v>
      </c>
      <c r="K30" s="31" t="n">
        <f aca="false">K26+K27+K28+K29</f>
        <v>58000</v>
      </c>
      <c r="L30" s="31" t="n">
        <f aca="false">L26+L27+L28+L29</f>
        <v>103000</v>
      </c>
      <c r="M30" s="31" t="n">
        <f aca="false">M26+M27+M28+M29</f>
        <v>51000</v>
      </c>
      <c r="N30" s="31" t="n">
        <f aca="false">N26+N27+N28+N29</f>
        <v>74000</v>
      </c>
      <c r="O30" s="31" t="n">
        <f aca="false">O26+O27+O28+O29</f>
        <v>110000</v>
      </c>
      <c r="P30" s="31" t="n">
        <f aca="false">SUM(D30:O30)</f>
        <v>1021000</v>
      </c>
    </row>
    <row r="31" customFormat="false" ht="15" hidden="false" customHeight="false" outlineLevel="0" collapsed="false">
      <c r="A31" s="34" t="s">
        <v>258</v>
      </c>
      <c r="B31" s="23" t="s">
        <v>259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customFormat="false" ht="15" hidden="false" customHeight="false" outlineLevel="0" collapsed="false">
      <c r="A32" s="28"/>
      <c r="B32" s="10" t="s">
        <v>260</v>
      </c>
      <c r="C32" s="35" t="s">
        <v>261</v>
      </c>
      <c r="D32" s="36" t="n">
        <f aca="false">IFERROR(SUMPRODUCT((LEFT(Balance!$A$6:$A$75,3)="631")*Balance!F$6:F$75),0)</f>
        <v>104000</v>
      </c>
      <c r="E32" s="36" t="n">
        <f aca="false">IFERROR(SUMPRODUCT((LEFT(Balance!$A$6:$A$75,3)="631")*Balance!G$6:G$75),0)</f>
        <v>102700</v>
      </c>
      <c r="F32" s="36" t="n">
        <f aca="false">IFERROR(SUMPRODUCT((LEFT(Balance!$A$6:$A$75,3)="631")*Balance!H$6:H$75),0)</f>
        <v>101400</v>
      </c>
      <c r="G32" s="36" t="n">
        <f aca="false">IFERROR(SUMPRODUCT((LEFT(Balance!$A$6:$A$75,3)="631")*Balance!I$6:I$75),0)</f>
        <v>100100</v>
      </c>
      <c r="H32" s="36" t="n">
        <f aca="false">IFERROR(SUMPRODUCT((LEFT(Balance!$A$6:$A$75,3)="631")*Balance!J$6:J$75),0)</f>
        <v>98800</v>
      </c>
      <c r="I32" s="36" t="n">
        <f aca="false">IFERROR(SUMPRODUCT((LEFT(Balance!$A$6:$A$75,3)="631")*Balance!K$6:K$75),0)</f>
        <v>97500</v>
      </c>
      <c r="J32" s="36" t="n">
        <f aca="false">IFERROR(SUMPRODUCT((LEFT(Balance!$A$6:$A$75,3)="631")*Balance!L$6:L$75),0)</f>
        <v>96200</v>
      </c>
      <c r="K32" s="36" t="n">
        <f aca="false">IFERROR(SUMPRODUCT((LEFT(Balance!$A$6:$A$75,3)="631")*Balance!M$6:M$75),0)</f>
        <v>94900</v>
      </c>
      <c r="L32" s="36" t="n">
        <f aca="false">IFERROR(SUMPRODUCT((LEFT(Balance!$A$6:$A$75,3)="631")*Balance!N$6:N$75),0)</f>
        <v>93600</v>
      </c>
      <c r="M32" s="36" t="n">
        <f aca="false">IFERROR(SUMPRODUCT((LEFT(Balance!$A$6:$A$75,3)="631")*Balance!O$6:O$75),0)</f>
        <v>92300</v>
      </c>
      <c r="N32" s="36" t="n">
        <f aca="false">IFERROR(SUMPRODUCT((LEFT(Balance!$A$6:$A$75,3)="631")*Balance!P$6:P$75),0)</f>
        <v>91000</v>
      </c>
      <c r="O32" s="36" t="n">
        <f aca="false">IFERROR(SUMPRODUCT((LEFT(Balance!$A$6:$A$75,3)="631")*Balance!Q$6:Q$75),0)</f>
        <v>89700</v>
      </c>
      <c r="P32" s="27" t="n">
        <f aca="false">SUM(D32:O32)</f>
        <v>1162200</v>
      </c>
    </row>
    <row r="33" customFormat="false" ht="15" hidden="false" customHeight="false" outlineLevel="0" collapsed="false">
      <c r="A33" s="28"/>
      <c r="B33" s="10" t="s">
        <v>262</v>
      </c>
      <c r="C33" s="35" t="s">
        <v>263</v>
      </c>
      <c r="D33" s="36" t="n">
        <f aca="false">IFERROR(SUMPRODUCT((LEFT(Balance!$A$6:$A$75,3)="633")*Balance!F$6:F$75),0)</f>
        <v>27000</v>
      </c>
      <c r="E33" s="36" t="n">
        <f aca="false">IFERROR(SUMPRODUCT((LEFT(Balance!$A$6:$A$75,3)="633")*Balance!G$6:G$75),0)</f>
        <v>37000</v>
      </c>
      <c r="F33" s="36" t="n">
        <f aca="false">IFERROR(SUMPRODUCT((LEFT(Balance!$A$6:$A$75,3)="633")*Balance!H$6:H$75),0)</f>
        <v>52000</v>
      </c>
      <c r="G33" s="36" t="n">
        <f aca="false">IFERROR(SUMPRODUCT((LEFT(Balance!$A$6:$A$75,3)="633")*Balance!I$6:I$75),0)</f>
        <v>21000</v>
      </c>
      <c r="H33" s="36" t="n">
        <f aca="false">IFERROR(SUMPRODUCT((LEFT(Balance!$A$6:$A$75,3)="633")*Balance!J$6:J$75),0)</f>
        <v>29000</v>
      </c>
      <c r="I33" s="36" t="n">
        <f aca="false">IFERROR(SUMPRODUCT((LEFT(Balance!$A$6:$A$75,3)="633")*Balance!K$6:K$75),0)</f>
        <v>61000</v>
      </c>
      <c r="J33" s="36" t="n">
        <f aca="false">IFERROR(SUMPRODUCT((LEFT(Balance!$A$6:$A$75,3)="633")*Balance!L$6:L$75),0)</f>
        <v>20000</v>
      </c>
      <c r="K33" s="36" t="n">
        <f aca="false">IFERROR(SUMPRODUCT((LEFT(Balance!$A$6:$A$75,3)="633")*Balance!M$6:M$75),0)</f>
        <v>27000</v>
      </c>
      <c r="L33" s="36" t="n">
        <f aca="false">IFERROR(SUMPRODUCT((LEFT(Balance!$A$6:$A$75,3)="633")*Balance!N$6:N$75),0)</f>
        <v>30000</v>
      </c>
      <c r="M33" s="36" t="n">
        <f aca="false">IFERROR(SUMPRODUCT((LEFT(Balance!$A$6:$A$75,3)="633")*Balance!O$6:O$75),0)</f>
        <v>52000</v>
      </c>
      <c r="N33" s="36" t="n">
        <f aca="false">IFERROR(SUMPRODUCT((LEFT(Balance!$A$6:$A$75,3)="633")*Balance!P$6:P$75),0)</f>
        <v>33000</v>
      </c>
      <c r="O33" s="36" t="n">
        <f aca="false">IFERROR(SUMPRODUCT((LEFT(Balance!$A$6:$A$75,3)="633")*Balance!Q$6:Q$75),0)</f>
        <v>69000</v>
      </c>
      <c r="P33" s="27" t="n">
        <f aca="false">SUM(D33:O33)</f>
        <v>458000</v>
      </c>
    </row>
    <row r="34" customFormat="false" ht="15" hidden="false" customHeight="false" outlineLevel="0" collapsed="false">
      <c r="A34" s="28"/>
      <c r="B34" s="10" t="s">
        <v>264</v>
      </c>
      <c r="C34" s="35" t="s">
        <v>265</v>
      </c>
      <c r="D34" s="36" t="n">
        <f aca="false">IFERROR(SUMPRODUCT((LEFT(Balance!$A$6:$A$75,3)="638")*Balance!F$6:F$75),0)</f>
        <v>0</v>
      </c>
      <c r="E34" s="36" t="n">
        <f aca="false">IFERROR(SUMPRODUCT((LEFT(Balance!$A$6:$A$75,3)="638")*Balance!G$6:G$75),0)</f>
        <v>0</v>
      </c>
      <c r="F34" s="36" t="n">
        <f aca="false">IFERROR(SUMPRODUCT((LEFT(Balance!$A$6:$A$75,3)="638")*Balance!H$6:H$75),0)</f>
        <v>0</v>
      </c>
      <c r="G34" s="36" t="n">
        <f aca="false">IFERROR(SUMPRODUCT((LEFT(Balance!$A$6:$A$75,3)="638")*Balance!I$6:I$75),0)</f>
        <v>0</v>
      </c>
      <c r="H34" s="36" t="n">
        <f aca="false">IFERROR(SUMPRODUCT((LEFT(Balance!$A$6:$A$75,3)="638")*Balance!J$6:J$75),0)</f>
        <v>0</v>
      </c>
      <c r="I34" s="36" t="n">
        <f aca="false">IFERROR(SUMPRODUCT((LEFT(Balance!$A$6:$A$75,3)="638")*Balance!K$6:K$75),0)</f>
        <v>0</v>
      </c>
      <c r="J34" s="36" t="n">
        <f aca="false">IFERROR(SUMPRODUCT((LEFT(Balance!$A$6:$A$75,3)="638")*Balance!L$6:L$75),0)</f>
        <v>0</v>
      </c>
      <c r="K34" s="36" t="n">
        <f aca="false">IFERROR(SUMPRODUCT((LEFT(Balance!$A$6:$A$75,3)="638")*Balance!M$6:M$75),0)</f>
        <v>0</v>
      </c>
      <c r="L34" s="36" t="n">
        <f aca="false">IFERROR(SUMPRODUCT((LEFT(Balance!$A$6:$A$75,3)="638")*Balance!N$6:N$75),0)</f>
        <v>0</v>
      </c>
      <c r="M34" s="36" t="n">
        <f aca="false">IFERROR(SUMPRODUCT((LEFT(Balance!$A$6:$A$75,3)="638")*Balance!O$6:O$75),0)</f>
        <v>0</v>
      </c>
      <c r="N34" s="36" t="n">
        <f aca="false">IFERROR(SUMPRODUCT((LEFT(Balance!$A$6:$A$75,3)="638")*Balance!P$6:P$75),0)</f>
        <v>0</v>
      </c>
      <c r="O34" s="36" t="n">
        <f aca="false">IFERROR(SUMPRODUCT((LEFT(Balance!$A$6:$A$75,3)="638")*Balance!Q$6:Q$75),0)</f>
        <v>0</v>
      </c>
      <c r="P34" s="27" t="n">
        <f aca="false">SUM(D34:O34)</f>
        <v>0</v>
      </c>
    </row>
    <row r="35" customFormat="false" ht="15" hidden="false" customHeight="false" outlineLevel="0" collapsed="false">
      <c r="A35" s="28"/>
      <c r="B35" s="10" t="s">
        <v>266</v>
      </c>
      <c r="C35" s="35" t="s">
        <v>267</v>
      </c>
      <c r="D35" s="36" t="n">
        <f aca="false">IFERROR(SUMPRODUCT((LEFT(Balance!$A$6:$A$75,3)="639")*Balance!F$6:F$75),0)</f>
        <v>0</v>
      </c>
      <c r="E35" s="36" t="n">
        <f aca="false">IFERROR(SUMPRODUCT((LEFT(Balance!$A$6:$A$75,3)="639")*Balance!G$6:G$75),0)</f>
        <v>0</v>
      </c>
      <c r="F35" s="36" t="n">
        <f aca="false">IFERROR(SUMPRODUCT((LEFT(Balance!$A$6:$A$75,3)="639")*Balance!H$6:H$75),0)</f>
        <v>0</v>
      </c>
      <c r="G35" s="36" t="n">
        <f aca="false">IFERROR(SUMPRODUCT((LEFT(Balance!$A$6:$A$75,3)="639")*Balance!I$6:I$75),0)</f>
        <v>0</v>
      </c>
      <c r="H35" s="36" t="n">
        <f aca="false">IFERROR(SUMPRODUCT((LEFT(Balance!$A$6:$A$75,3)="639")*Balance!J$6:J$75),0)</f>
        <v>0</v>
      </c>
      <c r="I35" s="36" t="n">
        <f aca="false">IFERROR(SUMPRODUCT((LEFT(Balance!$A$6:$A$75,3)="639")*Balance!K$6:K$75),0)</f>
        <v>0</v>
      </c>
      <c r="J35" s="36" t="n">
        <f aca="false">IFERROR(SUMPRODUCT((LEFT(Balance!$A$6:$A$75,3)="639")*Balance!L$6:L$75),0)</f>
        <v>0</v>
      </c>
      <c r="K35" s="36" t="n">
        <f aca="false">IFERROR(SUMPRODUCT((LEFT(Balance!$A$6:$A$75,3)="639")*Balance!M$6:M$75),0)</f>
        <v>0</v>
      </c>
      <c r="L35" s="36" t="n">
        <f aca="false">IFERROR(SUMPRODUCT((LEFT(Balance!$A$6:$A$75,3)="639")*Balance!N$6:N$75),0)</f>
        <v>0</v>
      </c>
      <c r="M35" s="36" t="n">
        <f aca="false">IFERROR(SUMPRODUCT((LEFT(Balance!$A$6:$A$75,3)="639")*Balance!O$6:O$75),0)</f>
        <v>0</v>
      </c>
      <c r="N35" s="36" t="n">
        <f aca="false">IFERROR(SUMPRODUCT((LEFT(Balance!$A$6:$A$75,3)="639")*Balance!P$6:P$75),0)</f>
        <v>0</v>
      </c>
      <c r="O35" s="36" t="n">
        <f aca="false">IFERROR(SUMPRODUCT((LEFT(Balance!$A$6:$A$75,3)="639")*Balance!Q$6:Q$75),0)</f>
        <v>0</v>
      </c>
      <c r="P35" s="27" t="n">
        <f aca="false">SUM(D35:O35)</f>
        <v>0</v>
      </c>
    </row>
    <row r="36" customFormat="false" ht="15" hidden="false" customHeight="false" outlineLevel="0" collapsed="false">
      <c r="A36" s="29"/>
      <c r="B36" s="38" t="s">
        <v>268</v>
      </c>
      <c r="C36" s="29"/>
      <c r="D36" s="31" t="n">
        <f aca="false">D32+D33+D34+D35</f>
        <v>131000</v>
      </c>
      <c r="E36" s="31" t="n">
        <f aca="false">E32+E33+E34+E35</f>
        <v>139700</v>
      </c>
      <c r="F36" s="31" t="n">
        <f aca="false">F32+F33+F34+F35</f>
        <v>153400</v>
      </c>
      <c r="G36" s="31" t="n">
        <f aca="false">G32+G33+G34+G35</f>
        <v>121100</v>
      </c>
      <c r="H36" s="31" t="n">
        <f aca="false">H32+H33+H34+H35</f>
        <v>127800</v>
      </c>
      <c r="I36" s="31" t="n">
        <f aca="false">I32+I33+I34+I35</f>
        <v>158500</v>
      </c>
      <c r="J36" s="31" t="n">
        <f aca="false">J32+J33+J34+J35</f>
        <v>116200</v>
      </c>
      <c r="K36" s="31" t="n">
        <f aca="false">K32+K33+K34+K35</f>
        <v>121900</v>
      </c>
      <c r="L36" s="31" t="n">
        <f aca="false">L32+L33+L34+L35</f>
        <v>123600</v>
      </c>
      <c r="M36" s="31" t="n">
        <f aca="false">M32+M33+M34+M35</f>
        <v>144300</v>
      </c>
      <c r="N36" s="31" t="n">
        <f aca="false">N32+N33+N34+N35</f>
        <v>124000</v>
      </c>
      <c r="O36" s="31" t="n">
        <f aca="false">O32+O33+O34+O35</f>
        <v>158700</v>
      </c>
      <c r="P36" s="31" t="n">
        <f aca="false">SUM(D36:O36)</f>
        <v>1620200</v>
      </c>
    </row>
    <row r="37" customFormat="false" ht="15" hidden="false" customHeight="false" outlineLevel="0" collapsed="false">
      <c r="A37" s="1"/>
      <c r="B37" s="39" t="s">
        <v>269</v>
      </c>
      <c r="C37" s="1"/>
      <c r="D37" s="40" t="n">
        <f aca="false">D30-D36</f>
        <v>-79000</v>
      </c>
      <c r="E37" s="40" t="n">
        <f aca="false">E30-E36</f>
        <v>-23700</v>
      </c>
      <c r="F37" s="40" t="n">
        <f aca="false">F30-F36</f>
        <v>-38400</v>
      </c>
      <c r="G37" s="40" t="n">
        <f aca="false">G30-G36</f>
        <v>-30100</v>
      </c>
      <c r="H37" s="40" t="n">
        <f aca="false">H30-H36</f>
        <v>-57800</v>
      </c>
      <c r="I37" s="40" t="n">
        <f aca="false">I30-I36</f>
        <v>-87500</v>
      </c>
      <c r="J37" s="40" t="n">
        <f aca="false">J30-J36</f>
        <v>-6200</v>
      </c>
      <c r="K37" s="40" t="n">
        <f aca="false">K30-K36</f>
        <v>-63900</v>
      </c>
      <c r="L37" s="40" t="n">
        <f aca="false">L30-L36</f>
        <v>-20600</v>
      </c>
      <c r="M37" s="40" t="n">
        <f aca="false">M30-M36</f>
        <v>-93300</v>
      </c>
      <c r="N37" s="40" t="n">
        <f aca="false">N30-N36</f>
        <v>-50000</v>
      </c>
      <c r="O37" s="40" t="n">
        <f aca="false">O30-O36</f>
        <v>-48700</v>
      </c>
      <c r="P37" s="40" t="n">
        <f aca="false">SUM(D37:O37)</f>
        <v>-599200</v>
      </c>
    </row>
    <row r="38" customFormat="false" ht="15" hidden="false" customHeight="false" outlineLevel="0" collapsed="false">
      <c r="A38" s="1"/>
      <c r="B38" s="39" t="s">
        <v>270</v>
      </c>
      <c r="C38" s="1"/>
      <c r="D38" s="40" t="n">
        <f aca="false">D24+D37</f>
        <v>468500</v>
      </c>
      <c r="E38" s="40" t="n">
        <f aca="false">E24+E37</f>
        <v>922800</v>
      </c>
      <c r="F38" s="40" t="n">
        <f aca="false">F24+F37</f>
        <v>1013100</v>
      </c>
      <c r="G38" s="40" t="n">
        <f aca="false">G24+G37</f>
        <v>785400</v>
      </c>
      <c r="H38" s="40" t="n">
        <f aca="false">H24+H37</f>
        <v>1043700</v>
      </c>
      <c r="I38" s="40" t="n">
        <f aca="false">I24+I37</f>
        <v>671000</v>
      </c>
      <c r="J38" s="40" t="n">
        <f aca="false">J24+J37</f>
        <v>1025300</v>
      </c>
      <c r="K38" s="40" t="n">
        <f aca="false">K24+K37</f>
        <v>266600</v>
      </c>
      <c r="L38" s="40" t="n">
        <f aca="false">L24+L37</f>
        <v>850900</v>
      </c>
      <c r="M38" s="40" t="n">
        <f aca="false">M24+M37</f>
        <v>1294200</v>
      </c>
      <c r="N38" s="40" t="n">
        <f aca="false">N24+N37</f>
        <v>1062500</v>
      </c>
      <c r="O38" s="40" t="n">
        <f aca="false">O24+O37</f>
        <v>1088800</v>
      </c>
      <c r="P38" s="40" t="n">
        <f aca="false">SUM(D38:O38)</f>
        <v>10492800</v>
      </c>
    </row>
    <row r="39" customFormat="false" ht="15" hidden="false" customHeight="false" outlineLevel="0" collapsed="false">
      <c r="A39" s="34" t="s">
        <v>271</v>
      </c>
      <c r="B39" s="23" t="s">
        <v>272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15" hidden="false" customHeight="false" outlineLevel="0" collapsed="false">
      <c r="A40" s="28"/>
      <c r="B40" s="10" t="s">
        <v>273</v>
      </c>
      <c r="C40" s="35" t="s">
        <v>274</v>
      </c>
      <c r="D40" s="36" t="n">
        <f aca="false">IFERROR(SUMPRODUCT((LEFT(Balance!$A$6:$A$75,3)="751")*Balance!F$6:F$75),0)</f>
        <v>0</v>
      </c>
      <c r="E40" s="36" t="n">
        <f aca="false">IFERROR(SUMPRODUCT((LEFT(Balance!$A$6:$A$75,3)="751")*Balance!G$6:G$75),0)</f>
        <v>0</v>
      </c>
      <c r="F40" s="36" t="n">
        <f aca="false">IFERROR(SUMPRODUCT((LEFT(Balance!$A$6:$A$75,3)="751")*Balance!H$6:H$75),0)</f>
        <v>0</v>
      </c>
      <c r="G40" s="36" t="n">
        <f aca="false">IFERROR(SUMPRODUCT((LEFT(Balance!$A$6:$A$75,3)="751")*Balance!I$6:I$75),0)</f>
        <v>0</v>
      </c>
      <c r="H40" s="36" t="n">
        <f aca="false">IFERROR(SUMPRODUCT((LEFT(Balance!$A$6:$A$75,3)="751")*Balance!J$6:J$75),0)</f>
        <v>0</v>
      </c>
      <c r="I40" s="36" t="n">
        <f aca="false">IFERROR(SUMPRODUCT((LEFT(Balance!$A$6:$A$75,3)="751")*Balance!K$6:K$75),0)</f>
        <v>0</v>
      </c>
      <c r="J40" s="36" t="n">
        <f aca="false">IFERROR(SUMPRODUCT((LEFT(Balance!$A$6:$A$75,3)="751")*Balance!L$6:L$75),0)</f>
        <v>0</v>
      </c>
      <c r="K40" s="36" t="n">
        <f aca="false">IFERROR(SUMPRODUCT((LEFT(Balance!$A$6:$A$75,3)="751")*Balance!M$6:M$75),0)</f>
        <v>0</v>
      </c>
      <c r="L40" s="36" t="n">
        <f aca="false">IFERROR(SUMPRODUCT((LEFT(Balance!$A$6:$A$75,3)="751")*Balance!N$6:N$75),0)</f>
        <v>0</v>
      </c>
      <c r="M40" s="36" t="n">
        <f aca="false">IFERROR(SUMPRODUCT((LEFT(Balance!$A$6:$A$75,3)="751")*Balance!O$6:O$75),0)</f>
        <v>150000</v>
      </c>
      <c r="N40" s="36" t="n">
        <f aca="false">IFERROR(SUMPRODUCT((LEFT(Balance!$A$6:$A$75,3)="751")*Balance!P$6:P$75),0)</f>
        <v>0</v>
      </c>
      <c r="O40" s="36" t="n">
        <f aca="false">IFERROR(SUMPRODUCT((LEFT(Balance!$A$6:$A$75,3)="751")*Balance!Q$6:Q$75),0)</f>
        <v>0</v>
      </c>
      <c r="P40" s="27" t="n">
        <f aca="false">SUM(D40:O40)</f>
        <v>150000</v>
      </c>
    </row>
    <row r="41" customFormat="false" ht="15" hidden="false" customHeight="false" outlineLevel="0" collapsed="false">
      <c r="A41" s="28"/>
      <c r="B41" s="10" t="s">
        <v>275</v>
      </c>
      <c r="C41" s="35" t="s">
        <v>276</v>
      </c>
      <c r="D41" s="36" t="n">
        <f aca="false">IFERROR(SUMPRODUCT((LEFT(Balance!$A$6:$A$75,3)="756")*Balance!F$6:F$75),0)</f>
        <v>0</v>
      </c>
      <c r="E41" s="36" t="n">
        <f aca="false">IFERROR(SUMPRODUCT((LEFT(Balance!$A$6:$A$75,3)="756")*Balance!G$6:G$75),0)</f>
        <v>0</v>
      </c>
      <c r="F41" s="36" t="n">
        <f aca="false">IFERROR(SUMPRODUCT((LEFT(Balance!$A$6:$A$75,3)="756")*Balance!H$6:H$75),0)</f>
        <v>0</v>
      </c>
      <c r="G41" s="36" t="n">
        <f aca="false">IFERROR(SUMPRODUCT((LEFT(Balance!$A$6:$A$75,3)="756")*Balance!I$6:I$75),0)</f>
        <v>0</v>
      </c>
      <c r="H41" s="36" t="n">
        <f aca="false">IFERROR(SUMPRODUCT((LEFT(Balance!$A$6:$A$75,3)="756")*Balance!J$6:J$75),0)</f>
        <v>0</v>
      </c>
      <c r="I41" s="36" t="n">
        <f aca="false">IFERROR(SUMPRODUCT((LEFT(Balance!$A$6:$A$75,3)="756")*Balance!K$6:K$75),0)</f>
        <v>0</v>
      </c>
      <c r="J41" s="36" t="n">
        <f aca="false">IFERROR(SUMPRODUCT((LEFT(Balance!$A$6:$A$75,3)="756")*Balance!L$6:L$75),0)</f>
        <v>0</v>
      </c>
      <c r="K41" s="36" t="n">
        <f aca="false">IFERROR(SUMPRODUCT((LEFT(Balance!$A$6:$A$75,3)="756")*Balance!M$6:M$75),0)</f>
        <v>0</v>
      </c>
      <c r="L41" s="36" t="n">
        <f aca="false">IFERROR(SUMPRODUCT((LEFT(Balance!$A$6:$A$75,3)="756")*Balance!N$6:N$75),0)</f>
        <v>0</v>
      </c>
      <c r="M41" s="36" t="n">
        <f aca="false">IFERROR(SUMPRODUCT((LEFT(Balance!$A$6:$A$75,3)="756")*Balance!O$6:O$75),0)</f>
        <v>0</v>
      </c>
      <c r="N41" s="36" t="n">
        <f aca="false">IFERROR(SUMPRODUCT((LEFT(Balance!$A$6:$A$75,3)="756")*Balance!P$6:P$75),0)</f>
        <v>0</v>
      </c>
      <c r="O41" s="36" t="n">
        <f aca="false">IFERROR(SUMPRODUCT((LEFT(Balance!$A$6:$A$75,3)="756")*Balance!Q$6:Q$75),0)</f>
        <v>0</v>
      </c>
      <c r="P41" s="27" t="n">
        <f aca="false">SUM(D41:O41)</f>
        <v>0</v>
      </c>
    </row>
    <row r="42" customFormat="false" ht="15" hidden="false" customHeight="false" outlineLevel="0" collapsed="false">
      <c r="A42" s="28"/>
      <c r="B42" s="10" t="s">
        <v>277</v>
      </c>
      <c r="C42" s="35" t="s">
        <v>278</v>
      </c>
      <c r="D42" s="36" t="n">
        <f aca="false">IFERROR(SUMPRODUCT((LEFT(Balance!$A$6:$A$75,3)="757")*Balance!F$6:F$75),0)</f>
        <v>0</v>
      </c>
      <c r="E42" s="36" t="n">
        <f aca="false">IFERROR(SUMPRODUCT((LEFT(Balance!$A$6:$A$75,3)="757")*Balance!G$6:G$75),0)</f>
        <v>0</v>
      </c>
      <c r="F42" s="36" t="n">
        <f aca="false">IFERROR(SUMPRODUCT((LEFT(Balance!$A$6:$A$75,3)="757")*Balance!H$6:H$75),0)</f>
        <v>0</v>
      </c>
      <c r="G42" s="36" t="n">
        <f aca="false">IFERROR(SUMPRODUCT((LEFT(Balance!$A$6:$A$75,3)="757")*Balance!I$6:I$75),0)</f>
        <v>0</v>
      </c>
      <c r="H42" s="36" t="n">
        <f aca="false">IFERROR(SUMPRODUCT((LEFT(Balance!$A$6:$A$75,3)="757")*Balance!J$6:J$75),0)</f>
        <v>0</v>
      </c>
      <c r="I42" s="36" t="n">
        <f aca="false">IFERROR(SUMPRODUCT((LEFT(Balance!$A$6:$A$75,3)="757")*Balance!K$6:K$75),0)</f>
        <v>0</v>
      </c>
      <c r="J42" s="36" t="n">
        <f aca="false">IFERROR(SUMPRODUCT((LEFT(Balance!$A$6:$A$75,3)="757")*Balance!L$6:L$75),0)</f>
        <v>0</v>
      </c>
      <c r="K42" s="36" t="n">
        <f aca="false">IFERROR(SUMPRODUCT((LEFT(Balance!$A$6:$A$75,3)="757")*Balance!M$6:M$75),0)</f>
        <v>0</v>
      </c>
      <c r="L42" s="36" t="n">
        <f aca="false">IFERROR(SUMPRODUCT((LEFT(Balance!$A$6:$A$75,3)="757")*Balance!N$6:N$75),0)</f>
        <v>0</v>
      </c>
      <c r="M42" s="36" t="n">
        <f aca="false">IFERROR(SUMPRODUCT((LEFT(Balance!$A$6:$A$75,3)="757")*Balance!O$6:O$75),0)</f>
        <v>0</v>
      </c>
      <c r="N42" s="36" t="n">
        <f aca="false">IFERROR(SUMPRODUCT((LEFT(Balance!$A$6:$A$75,3)="757")*Balance!P$6:P$75),0)</f>
        <v>0</v>
      </c>
      <c r="O42" s="36" t="n">
        <f aca="false">IFERROR(SUMPRODUCT((LEFT(Balance!$A$6:$A$75,3)="757")*Balance!Q$6:Q$75),0)</f>
        <v>0</v>
      </c>
      <c r="P42" s="27" t="n">
        <f aca="false">SUM(D42:O42)</f>
        <v>0</v>
      </c>
    </row>
    <row r="43" customFormat="false" ht="15" hidden="false" customHeight="false" outlineLevel="0" collapsed="false">
      <c r="A43" s="28"/>
      <c r="B43" s="10" t="s">
        <v>279</v>
      </c>
      <c r="C43" s="35" t="s">
        <v>280</v>
      </c>
      <c r="D43" s="36" t="n">
        <f aca="false">IFERROR(SUMPRODUCT((LEFT(Balance!$A$6:$A$75,3)="758")*Balance!F$6:F$75),0)</f>
        <v>0</v>
      </c>
      <c r="E43" s="36" t="n">
        <f aca="false">IFERROR(SUMPRODUCT((LEFT(Balance!$A$6:$A$75,3)="758")*Balance!G$6:G$75),0)</f>
        <v>0</v>
      </c>
      <c r="F43" s="36" t="n">
        <f aca="false">IFERROR(SUMPRODUCT((LEFT(Balance!$A$6:$A$75,3)="758")*Balance!H$6:H$75),0)</f>
        <v>0</v>
      </c>
      <c r="G43" s="36" t="n">
        <f aca="false">IFERROR(SUMPRODUCT((LEFT(Balance!$A$6:$A$75,3)="758")*Balance!I$6:I$75),0)</f>
        <v>0</v>
      </c>
      <c r="H43" s="36" t="n">
        <f aca="false">IFERROR(SUMPRODUCT((LEFT(Balance!$A$6:$A$75,3)="758")*Balance!J$6:J$75),0)</f>
        <v>0</v>
      </c>
      <c r="I43" s="36" t="n">
        <f aca="false">IFERROR(SUMPRODUCT((LEFT(Balance!$A$6:$A$75,3)="758")*Balance!K$6:K$75),0)</f>
        <v>0</v>
      </c>
      <c r="J43" s="36" t="n">
        <f aca="false">IFERROR(SUMPRODUCT((LEFT(Balance!$A$6:$A$75,3)="758")*Balance!L$6:L$75),0)</f>
        <v>0</v>
      </c>
      <c r="K43" s="36" t="n">
        <f aca="false">IFERROR(SUMPRODUCT((LEFT(Balance!$A$6:$A$75,3)="758")*Balance!M$6:M$75),0)</f>
        <v>0</v>
      </c>
      <c r="L43" s="36" t="n">
        <f aca="false">IFERROR(SUMPRODUCT((LEFT(Balance!$A$6:$A$75,3)="758")*Balance!N$6:N$75),0)</f>
        <v>0</v>
      </c>
      <c r="M43" s="36" t="n">
        <f aca="false">IFERROR(SUMPRODUCT((LEFT(Balance!$A$6:$A$75,3)="758")*Balance!O$6:O$75),0)</f>
        <v>0</v>
      </c>
      <c r="N43" s="36" t="n">
        <f aca="false">IFERROR(SUMPRODUCT((LEFT(Balance!$A$6:$A$75,3)="758")*Balance!P$6:P$75),0)</f>
        <v>0</v>
      </c>
      <c r="O43" s="36" t="n">
        <f aca="false">IFERROR(SUMPRODUCT((LEFT(Balance!$A$6:$A$75,3)="758")*Balance!Q$6:Q$75),0)</f>
        <v>0</v>
      </c>
      <c r="P43" s="27" t="n">
        <f aca="false">SUM(D43:O43)</f>
        <v>0</v>
      </c>
    </row>
    <row r="44" customFormat="false" ht="15" hidden="false" customHeight="false" outlineLevel="0" collapsed="false">
      <c r="A44" s="28"/>
      <c r="B44" s="10" t="s">
        <v>281</v>
      </c>
      <c r="C44" s="35" t="s">
        <v>282</v>
      </c>
      <c r="D44" s="36" t="n">
        <f aca="false">IFERROR(SUMPRODUCT((LEFT(Balance!$A$6:$A$75,3)="759")*Balance!F$6:F$75),0)</f>
        <v>0</v>
      </c>
      <c r="E44" s="36" t="n">
        <f aca="false">IFERROR(SUMPRODUCT((LEFT(Balance!$A$6:$A$75,3)="759")*Balance!G$6:G$75),0)</f>
        <v>0</v>
      </c>
      <c r="F44" s="36" t="n">
        <f aca="false">IFERROR(SUMPRODUCT((LEFT(Balance!$A$6:$A$75,3)="759")*Balance!H$6:H$75),0)</f>
        <v>0</v>
      </c>
      <c r="G44" s="36" t="n">
        <f aca="false">IFERROR(SUMPRODUCT((LEFT(Balance!$A$6:$A$75,3)="759")*Balance!I$6:I$75),0)</f>
        <v>0</v>
      </c>
      <c r="H44" s="36" t="n">
        <f aca="false">IFERROR(SUMPRODUCT((LEFT(Balance!$A$6:$A$75,3)="759")*Balance!J$6:J$75),0)</f>
        <v>0</v>
      </c>
      <c r="I44" s="36" t="n">
        <f aca="false">IFERROR(SUMPRODUCT((LEFT(Balance!$A$6:$A$75,3)="759")*Balance!K$6:K$75),0)</f>
        <v>0</v>
      </c>
      <c r="J44" s="36" t="n">
        <f aca="false">IFERROR(SUMPRODUCT((LEFT(Balance!$A$6:$A$75,3)="759")*Balance!L$6:L$75),0)</f>
        <v>0</v>
      </c>
      <c r="K44" s="36" t="n">
        <f aca="false">IFERROR(SUMPRODUCT((LEFT(Balance!$A$6:$A$75,3)="759")*Balance!M$6:M$75),0)</f>
        <v>0</v>
      </c>
      <c r="L44" s="36" t="n">
        <f aca="false">IFERROR(SUMPRODUCT((LEFT(Balance!$A$6:$A$75,3)="759")*Balance!N$6:N$75),0)</f>
        <v>0</v>
      </c>
      <c r="M44" s="36" t="n">
        <f aca="false">IFERROR(SUMPRODUCT((LEFT(Balance!$A$6:$A$75,3)="759")*Balance!O$6:O$75),0)</f>
        <v>0</v>
      </c>
      <c r="N44" s="36" t="n">
        <f aca="false">IFERROR(SUMPRODUCT((LEFT(Balance!$A$6:$A$75,3)="759")*Balance!P$6:P$75),0)</f>
        <v>0</v>
      </c>
      <c r="O44" s="36" t="n">
        <f aca="false">IFERROR(SUMPRODUCT((LEFT(Balance!$A$6:$A$75,3)="759")*Balance!Q$6:Q$75),0)</f>
        <v>0</v>
      </c>
      <c r="P44" s="27" t="n">
        <f aca="false">SUM(D44:O44)</f>
        <v>0</v>
      </c>
    </row>
    <row r="45" customFormat="false" ht="15" hidden="false" customHeight="false" outlineLevel="0" collapsed="false">
      <c r="A45" s="29"/>
      <c r="B45" s="38" t="s">
        <v>283</v>
      </c>
      <c r="C45" s="29"/>
      <c r="D45" s="31" t="n">
        <f aca="false">D40+D41+D42+D43+D44</f>
        <v>0</v>
      </c>
      <c r="E45" s="31" t="n">
        <f aca="false">E40+E41+E42+E43+E44</f>
        <v>0</v>
      </c>
      <c r="F45" s="31" t="n">
        <f aca="false">F40+F41+F42+F43+F44</f>
        <v>0</v>
      </c>
      <c r="G45" s="31" t="n">
        <f aca="false">G40+G41+G42+G43+G44</f>
        <v>0</v>
      </c>
      <c r="H45" s="31" t="n">
        <f aca="false">H40+H41+H42+H43+H44</f>
        <v>0</v>
      </c>
      <c r="I45" s="31" t="n">
        <f aca="false">I40+I41+I42+I43+I44</f>
        <v>0</v>
      </c>
      <c r="J45" s="31" t="n">
        <f aca="false">J40+J41+J42+J43+J44</f>
        <v>0</v>
      </c>
      <c r="K45" s="31" t="n">
        <f aca="false">K40+K41+K42+K43+K44</f>
        <v>0</v>
      </c>
      <c r="L45" s="31" t="n">
        <f aca="false">L40+L41+L42+L43+L44</f>
        <v>0</v>
      </c>
      <c r="M45" s="31" t="n">
        <f aca="false">M40+M41+M42+M43+M44</f>
        <v>150000</v>
      </c>
      <c r="N45" s="31" t="n">
        <f aca="false">N40+N41+N42+N43+N44</f>
        <v>0</v>
      </c>
      <c r="O45" s="31" t="n">
        <f aca="false">O40+O41+O42+O43+O44</f>
        <v>0</v>
      </c>
      <c r="P45" s="31" t="n">
        <f aca="false">SUM(D45:O45)</f>
        <v>150000</v>
      </c>
    </row>
    <row r="46" customFormat="false" ht="15" hidden="false" customHeight="false" outlineLevel="0" collapsed="false">
      <c r="A46" s="34" t="s">
        <v>284</v>
      </c>
      <c r="B46" s="23" t="s">
        <v>285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28"/>
      <c r="B47" s="10" t="s">
        <v>286</v>
      </c>
      <c r="C47" s="35" t="s">
        <v>287</v>
      </c>
      <c r="D47" s="36" t="n">
        <f aca="false">IFERROR(SUMPRODUCT((LEFT(Balance!$A$6:$A$75,3)="651")*Balance!F$6:F$75),0)</f>
        <v>0</v>
      </c>
      <c r="E47" s="36" t="n">
        <f aca="false">IFERROR(SUMPRODUCT((LEFT(Balance!$A$6:$A$75,3)="651")*Balance!G$6:G$75),0)</f>
        <v>0</v>
      </c>
      <c r="F47" s="36" t="n">
        <f aca="false">IFERROR(SUMPRODUCT((LEFT(Balance!$A$6:$A$75,3)="651")*Balance!H$6:H$75),0)</f>
        <v>0</v>
      </c>
      <c r="G47" s="36" t="n">
        <f aca="false">IFERROR(SUMPRODUCT((LEFT(Balance!$A$6:$A$75,3)="651")*Balance!I$6:I$75),0)</f>
        <v>0</v>
      </c>
      <c r="H47" s="36" t="n">
        <f aca="false">IFERROR(SUMPRODUCT((LEFT(Balance!$A$6:$A$75,3)="651")*Balance!J$6:J$75),0)</f>
        <v>0</v>
      </c>
      <c r="I47" s="36" t="n">
        <f aca="false">IFERROR(SUMPRODUCT((LEFT(Balance!$A$6:$A$75,3)="651")*Balance!K$6:K$75),0)</f>
        <v>0</v>
      </c>
      <c r="J47" s="36" t="n">
        <f aca="false">IFERROR(SUMPRODUCT((LEFT(Balance!$A$6:$A$75,3)="651")*Balance!L$6:L$75),0)</f>
        <v>0</v>
      </c>
      <c r="K47" s="36" t="n">
        <f aca="false">IFERROR(SUMPRODUCT((LEFT(Balance!$A$6:$A$75,3)="651")*Balance!M$6:M$75),0)</f>
        <v>0</v>
      </c>
      <c r="L47" s="36" t="n">
        <f aca="false">IFERROR(SUMPRODUCT((LEFT(Balance!$A$6:$A$75,3)="651")*Balance!N$6:N$75),0)</f>
        <v>0</v>
      </c>
      <c r="M47" s="36" t="n">
        <f aca="false">IFERROR(SUMPRODUCT((LEFT(Balance!$A$6:$A$75,3)="651")*Balance!O$6:O$75),0)</f>
        <v>110000</v>
      </c>
      <c r="N47" s="36" t="n">
        <f aca="false">IFERROR(SUMPRODUCT((LEFT(Balance!$A$6:$A$75,3)="651")*Balance!P$6:P$75),0)</f>
        <v>0</v>
      </c>
      <c r="O47" s="36" t="n">
        <f aca="false">IFERROR(SUMPRODUCT((LEFT(Balance!$A$6:$A$75,3)="651")*Balance!Q$6:Q$75),0)</f>
        <v>0</v>
      </c>
      <c r="P47" s="27" t="n">
        <f aca="false">SUM(D47:O47)</f>
        <v>110000</v>
      </c>
    </row>
    <row r="48" customFormat="false" ht="15" hidden="false" customHeight="false" outlineLevel="0" collapsed="false">
      <c r="A48" s="28"/>
      <c r="B48" s="10" t="s">
        <v>288</v>
      </c>
      <c r="C48" s="35" t="s">
        <v>289</v>
      </c>
      <c r="D48" s="36" t="n">
        <f aca="false">IFERROR(SUMPRODUCT((LEFT(Balance!$A$6:$A$75,3)="656")*Balance!F$6:F$75),0)</f>
        <v>0</v>
      </c>
      <c r="E48" s="36" t="n">
        <f aca="false">IFERROR(SUMPRODUCT((LEFT(Balance!$A$6:$A$75,3)="656")*Balance!G$6:G$75),0)</f>
        <v>0</v>
      </c>
      <c r="F48" s="36" t="n">
        <f aca="false">IFERROR(SUMPRODUCT((LEFT(Balance!$A$6:$A$75,3)="656")*Balance!H$6:H$75),0)</f>
        <v>0</v>
      </c>
      <c r="G48" s="36" t="n">
        <f aca="false">IFERROR(SUMPRODUCT((LEFT(Balance!$A$6:$A$75,3)="656")*Balance!I$6:I$75),0)</f>
        <v>0</v>
      </c>
      <c r="H48" s="36" t="n">
        <f aca="false">IFERROR(SUMPRODUCT((LEFT(Balance!$A$6:$A$75,3)="656")*Balance!J$6:J$75),0)</f>
        <v>0</v>
      </c>
      <c r="I48" s="36" t="n">
        <f aca="false">IFERROR(SUMPRODUCT((LEFT(Balance!$A$6:$A$75,3)="656")*Balance!K$6:K$75),0)</f>
        <v>0</v>
      </c>
      <c r="J48" s="36" t="n">
        <f aca="false">IFERROR(SUMPRODUCT((LEFT(Balance!$A$6:$A$75,3)="656")*Balance!L$6:L$75),0)</f>
        <v>0</v>
      </c>
      <c r="K48" s="36" t="n">
        <f aca="false">IFERROR(SUMPRODUCT((LEFT(Balance!$A$6:$A$75,3)="656")*Balance!M$6:M$75),0)</f>
        <v>0</v>
      </c>
      <c r="L48" s="36" t="n">
        <f aca="false">IFERROR(SUMPRODUCT((LEFT(Balance!$A$6:$A$75,3)="656")*Balance!N$6:N$75),0)</f>
        <v>0</v>
      </c>
      <c r="M48" s="36" t="n">
        <f aca="false">IFERROR(SUMPRODUCT((LEFT(Balance!$A$6:$A$75,3)="656")*Balance!O$6:O$75),0)</f>
        <v>0</v>
      </c>
      <c r="N48" s="36" t="n">
        <f aca="false">IFERROR(SUMPRODUCT((LEFT(Balance!$A$6:$A$75,3)="656")*Balance!P$6:P$75),0)</f>
        <v>0</v>
      </c>
      <c r="O48" s="36" t="n">
        <f aca="false">IFERROR(SUMPRODUCT((LEFT(Balance!$A$6:$A$75,3)="656")*Balance!Q$6:Q$75),0)</f>
        <v>0</v>
      </c>
      <c r="P48" s="27" t="n">
        <f aca="false">SUM(D48:O48)</f>
        <v>0</v>
      </c>
    </row>
    <row r="49" customFormat="false" ht="15" hidden="false" customHeight="false" outlineLevel="0" collapsed="false">
      <c r="A49" s="28"/>
      <c r="B49" s="10" t="s">
        <v>174</v>
      </c>
      <c r="C49" s="35" t="s">
        <v>290</v>
      </c>
      <c r="D49" s="36" t="n">
        <f aca="false">IFERROR(SUMPRODUCT((LEFT(Balance!$A$6:$A$75,3)="658")*Balance!F$6:F$75),0)</f>
        <v>0</v>
      </c>
      <c r="E49" s="36" t="n">
        <f aca="false">IFERROR(SUMPRODUCT((LEFT(Balance!$A$6:$A$75,3)="658")*Balance!G$6:G$75),0)</f>
        <v>0</v>
      </c>
      <c r="F49" s="36" t="n">
        <f aca="false">IFERROR(SUMPRODUCT((LEFT(Balance!$A$6:$A$75,3)="658")*Balance!H$6:H$75),0)</f>
        <v>20000</v>
      </c>
      <c r="G49" s="36" t="n">
        <f aca="false">IFERROR(SUMPRODUCT((LEFT(Balance!$A$6:$A$75,3)="658")*Balance!I$6:I$75),0)</f>
        <v>0</v>
      </c>
      <c r="H49" s="36" t="n">
        <f aca="false">IFERROR(SUMPRODUCT((LEFT(Balance!$A$6:$A$75,3)="658")*Balance!J$6:J$75),0)</f>
        <v>0</v>
      </c>
      <c r="I49" s="36" t="n">
        <f aca="false">IFERROR(SUMPRODUCT((LEFT(Balance!$A$6:$A$75,3)="658")*Balance!K$6:K$75),0)</f>
        <v>0</v>
      </c>
      <c r="J49" s="36" t="n">
        <f aca="false">IFERROR(SUMPRODUCT((LEFT(Balance!$A$6:$A$75,3)="658")*Balance!L$6:L$75),0)</f>
        <v>0</v>
      </c>
      <c r="K49" s="36" t="n">
        <f aca="false">IFERROR(SUMPRODUCT((LEFT(Balance!$A$6:$A$75,3)="658")*Balance!M$6:M$75),0)</f>
        <v>0</v>
      </c>
      <c r="L49" s="36" t="n">
        <f aca="false">IFERROR(SUMPRODUCT((LEFT(Balance!$A$6:$A$75,3)="658")*Balance!N$6:N$75),0)</f>
        <v>0</v>
      </c>
      <c r="M49" s="36" t="n">
        <f aca="false">IFERROR(SUMPRODUCT((LEFT(Balance!$A$6:$A$75,3)="658")*Balance!O$6:O$75),0)</f>
        <v>0</v>
      </c>
      <c r="N49" s="36" t="n">
        <f aca="false">IFERROR(SUMPRODUCT((LEFT(Balance!$A$6:$A$75,3)="658")*Balance!P$6:P$75),0)</f>
        <v>0</v>
      </c>
      <c r="O49" s="36" t="n">
        <f aca="false">IFERROR(SUMPRODUCT((LEFT(Balance!$A$6:$A$75,3)="658")*Balance!Q$6:Q$75),0)</f>
        <v>0</v>
      </c>
      <c r="P49" s="27" t="n">
        <f aca="false">SUM(D49:O49)</f>
        <v>20000</v>
      </c>
    </row>
    <row r="50" customFormat="false" ht="15" hidden="false" customHeight="false" outlineLevel="0" collapsed="false">
      <c r="A50" s="28"/>
      <c r="B50" s="10" t="s">
        <v>291</v>
      </c>
      <c r="C50" s="35" t="s">
        <v>292</v>
      </c>
      <c r="D50" s="36" t="n">
        <f aca="false">IFERROR(SUMPRODUCT((LEFT(Balance!$A$6:$A$75,3)="659")*Balance!F$6:F$75),0)</f>
        <v>0</v>
      </c>
      <c r="E50" s="36" t="n">
        <f aca="false">IFERROR(SUMPRODUCT((LEFT(Balance!$A$6:$A$75,3)="659")*Balance!G$6:G$75),0)</f>
        <v>0</v>
      </c>
      <c r="F50" s="36" t="n">
        <f aca="false">IFERROR(SUMPRODUCT((LEFT(Balance!$A$6:$A$75,3)="659")*Balance!H$6:H$75),0)</f>
        <v>0</v>
      </c>
      <c r="G50" s="36" t="n">
        <f aca="false">IFERROR(SUMPRODUCT((LEFT(Balance!$A$6:$A$75,3)="659")*Balance!I$6:I$75),0)</f>
        <v>0</v>
      </c>
      <c r="H50" s="36" t="n">
        <f aca="false">IFERROR(SUMPRODUCT((LEFT(Balance!$A$6:$A$75,3)="659")*Balance!J$6:J$75),0)</f>
        <v>0</v>
      </c>
      <c r="I50" s="36" t="n">
        <f aca="false">IFERROR(SUMPRODUCT((LEFT(Balance!$A$6:$A$75,3)="659")*Balance!K$6:K$75),0)</f>
        <v>0</v>
      </c>
      <c r="J50" s="36" t="n">
        <f aca="false">IFERROR(SUMPRODUCT((LEFT(Balance!$A$6:$A$75,3)="659")*Balance!L$6:L$75),0)</f>
        <v>0</v>
      </c>
      <c r="K50" s="36" t="n">
        <f aca="false">IFERROR(SUMPRODUCT((LEFT(Balance!$A$6:$A$75,3)="659")*Balance!M$6:M$75),0)</f>
        <v>0</v>
      </c>
      <c r="L50" s="36" t="n">
        <f aca="false">IFERROR(SUMPRODUCT((LEFT(Balance!$A$6:$A$75,3)="659")*Balance!N$6:N$75),0)</f>
        <v>0</v>
      </c>
      <c r="M50" s="36" t="n">
        <f aca="false">IFERROR(SUMPRODUCT((LEFT(Balance!$A$6:$A$75,3)="659")*Balance!O$6:O$75),0)</f>
        <v>0</v>
      </c>
      <c r="N50" s="36" t="n">
        <f aca="false">IFERROR(SUMPRODUCT((LEFT(Balance!$A$6:$A$75,3)="659")*Balance!P$6:P$75),0)</f>
        <v>0</v>
      </c>
      <c r="O50" s="36" t="n">
        <f aca="false">IFERROR(SUMPRODUCT((LEFT(Balance!$A$6:$A$75,3)="659")*Balance!Q$6:Q$75),0)</f>
        <v>0</v>
      </c>
      <c r="P50" s="27" t="n">
        <f aca="false">SUM(D50:O50)</f>
        <v>0</v>
      </c>
    </row>
    <row r="51" customFormat="false" ht="15" hidden="false" customHeight="false" outlineLevel="0" collapsed="false">
      <c r="A51" s="29"/>
      <c r="B51" s="38" t="s">
        <v>293</v>
      </c>
      <c r="C51" s="29"/>
      <c r="D51" s="31" t="n">
        <f aca="false">D47+D48+D49+D50</f>
        <v>0</v>
      </c>
      <c r="E51" s="31" t="n">
        <f aca="false">E47+E48+E49+E50</f>
        <v>0</v>
      </c>
      <c r="F51" s="31" t="n">
        <f aca="false">F47+F48+F49+F50</f>
        <v>20000</v>
      </c>
      <c r="G51" s="31" t="n">
        <f aca="false">G47+G48+G49+G50</f>
        <v>0</v>
      </c>
      <c r="H51" s="31" t="n">
        <f aca="false">H47+H48+H49+H50</f>
        <v>0</v>
      </c>
      <c r="I51" s="31" t="n">
        <f aca="false">I47+I48+I49+I50</f>
        <v>0</v>
      </c>
      <c r="J51" s="31" t="n">
        <f aca="false">J47+J48+J49+J50</f>
        <v>0</v>
      </c>
      <c r="K51" s="31" t="n">
        <f aca="false">K47+K48+K49+K50</f>
        <v>0</v>
      </c>
      <c r="L51" s="31" t="n">
        <f aca="false">L47+L48+L49+L50</f>
        <v>0</v>
      </c>
      <c r="M51" s="31" t="n">
        <f aca="false">M47+M48+M49+M50</f>
        <v>110000</v>
      </c>
      <c r="N51" s="31" t="n">
        <f aca="false">N47+N48+N49+N50</f>
        <v>0</v>
      </c>
      <c r="O51" s="31" t="n">
        <f aca="false">O47+O48+O49+O50</f>
        <v>0</v>
      </c>
      <c r="P51" s="31" t="n">
        <f aca="false">SUM(D51:O51)</f>
        <v>130000</v>
      </c>
    </row>
    <row r="52" customFormat="false" ht="15" hidden="false" customHeight="false" outlineLevel="0" collapsed="false">
      <c r="A52" s="1"/>
      <c r="B52" s="39" t="s">
        <v>294</v>
      </c>
      <c r="C52" s="1"/>
      <c r="D52" s="40" t="n">
        <f aca="false">D45-D51</f>
        <v>0</v>
      </c>
      <c r="E52" s="40" t="n">
        <f aca="false">E45-E51</f>
        <v>0</v>
      </c>
      <c r="F52" s="40" t="n">
        <f aca="false">F45-F51</f>
        <v>-20000</v>
      </c>
      <c r="G52" s="40" t="n">
        <f aca="false">G45-G51</f>
        <v>0</v>
      </c>
      <c r="H52" s="40" t="n">
        <f aca="false">H45-H51</f>
        <v>0</v>
      </c>
      <c r="I52" s="40" t="n">
        <f aca="false">I45-I51</f>
        <v>0</v>
      </c>
      <c r="J52" s="40" t="n">
        <f aca="false">J45-J51</f>
        <v>0</v>
      </c>
      <c r="K52" s="40" t="n">
        <f aca="false">K45-K51</f>
        <v>0</v>
      </c>
      <c r="L52" s="40" t="n">
        <f aca="false">L45-L51</f>
        <v>0</v>
      </c>
      <c r="M52" s="40" t="n">
        <f aca="false">M45-M51</f>
        <v>40000</v>
      </c>
      <c r="N52" s="40" t="n">
        <f aca="false">N45-N51</f>
        <v>0</v>
      </c>
      <c r="O52" s="40" t="n">
        <f aca="false">O45-O51</f>
        <v>0</v>
      </c>
      <c r="P52" s="40" t="n">
        <f aca="false">SUM(D52:O52)</f>
        <v>20000</v>
      </c>
    </row>
    <row r="53" customFormat="false" ht="15" hidden="false" customHeight="false" outlineLevel="0" collapsed="false">
      <c r="A53" s="1"/>
      <c r="B53" s="39" t="s">
        <v>295</v>
      </c>
      <c r="C53" s="1"/>
      <c r="D53" s="40" t="n">
        <f aca="false">D38+D52</f>
        <v>468500</v>
      </c>
      <c r="E53" s="40" t="n">
        <f aca="false">E38+E52</f>
        <v>922800</v>
      </c>
      <c r="F53" s="40" t="n">
        <f aca="false">F38+F52</f>
        <v>993100</v>
      </c>
      <c r="G53" s="40" t="n">
        <f aca="false">G38+G52</f>
        <v>785400</v>
      </c>
      <c r="H53" s="40" t="n">
        <f aca="false">H38+H52</f>
        <v>1043700</v>
      </c>
      <c r="I53" s="40" t="n">
        <f aca="false">I38+I52</f>
        <v>671000</v>
      </c>
      <c r="J53" s="40" t="n">
        <f aca="false">J38+J52</f>
        <v>1025300</v>
      </c>
      <c r="K53" s="40" t="n">
        <f aca="false">K38+K52</f>
        <v>266600</v>
      </c>
      <c r="L53" s="40" t="n">
        <f aca="false">L38+L52</f>
        <v>850900</v>
      </c>
      <c r="M53" s="40" t="n">
        <f aca="false">M38+M52</f>
        <v>1334200</v>
      </c>
      <c r="N53" s="40" t="n">
        <f aca="false">N38+N52</f>
        <v>1062500</v>
      </c>
      <c r="O53" s="40" t="n">
        <f aca="false">O38+O52</f>
        <v>1088800</v>
      </c>
      <c r="P53" s="40" t="n">
        <f aca="false">SUM(D53:O53)</f>
        <v>10512800</v>
      </c>
    </row>
    <row r="54" customFormat="false" ht="15" hidden="false" customHeight="false" outlineLevel="0" collapsed="false">
      <c r="A54" s="28"/>
      <c r="B54" s="10" t="s">
        <v>296</v>
      </c>
      <c r="C54" s="35" t="s">
        <v>297</v>
      </c>
      <c r="D54" s="36" t="n">
        <f aca="false">IFERROR(SUMPRODUCT((LEFT(Balance!$A$6:$A$75,3)="670")*Balance!F$6:F$75),0)</f>
        <v>93700</v>
      </c>
      <c r="E54" s="36" t="n">
        <f aca="false">IFERROR(SUMPRODUCT((LEFT(Balance!$A$6:$A$75,3)="670")*Balance!G$6:G$75),0)</f>
        <v>184600</v>
      </c>
      <c r="F54" s="36" t="n">
        <f aca="false">IFERROR(SUMPRODUCT((LEFT(Balance!$A$6:$A$75,3)="670")*Balance!H$6:H$75),0)</f>
        <v>198600</v>
      </c>
      <c r="G54" s="36" t="n">
        <f aca="false">IFERROR(SUMPRODUCT((LEFT(Balance!$A$6:$A$75,3)="670")*Balance!I$6:I$75),0)</f>
        <v>157100</v>
      </c>
      <c r="H54" s="36" t="n">
        <f aca="false">IFERROR(SUMPRODUCT((LEFT(Balance!$A$6:$A$75,3)="670")*Balance!J$6:J$75),0)</f>
        <v>208700</v>
      </c>
      <c r="I54" s="36" t="n">
        <f aca="false">IFERROR(SUMPRODUCT((LEFT(Balance!$A$6:$A$75,3)="670")*Balance!K$6:K$75),0)</f>
        <v>134200</v>
      </c>
      <c r="J54" s="36" t="n">
        <f aca="false">IFERROR(SUMPRODUCT((LEFT(Balance!$A$6:$A$75,3)="670")*Balance!L$6:L$75),0)</f>
        <v>205100</v>
      </c>
      <c r="K54" s="36" t="n">
        <f aca="false">IFERROR(SUMPRODUCT((LEFT(Balance!$A$6:$A$75,3)="670")*Balance!M$6:M$75),0)</f>
        <v>53300</v>
      </c>
      <c r="L54" s="36" t="n">
        <f aca="false">IFERROR(SUMPRODUCT((LEFT(Balance!$A$6:$A$75,3)="670")*Balance!N$6:N$75),0)</f>
        <v>170200</v>
      </c>
      <c r="M54" s="36" t="n">
        <f aca="false">IFERROR(SUMPRODUCT((LEFT(Balance!$A$6:$A$75,3)="670")*Balance!O$6:O$75),0)</f>
        <v>266800</v>
      </c>
      <c r="N54" s="36" t="n">
        <f aca="false">IFERROR(SUMPRODUCT((LEFT(Balance!$A$6:$A$75,3)="670")*Balance!P$6:P$75),0)</f>
        <v>212500</v>
      </c>
      <c r="O54" s="36" t="n">
        <f aca="false">IFERROR(SUMPRODUCT((LEFT(Balance!$A$6:$A$75,3)="670")*Balance!Q$6:Q$75),0)</f>
        <v>217800</v>
      </c>
      <c r="P54" s="27" t="n">
        <f aca="false">SUM(D54:O54)</f>
        <v>2102600</v>
      </c>
    </row>
    <row r="55" customFormat="false" ht="15" hidden="false" customHeight="false" outlineLevel="0" collapsed="false">
      <c r="A55" s="1"/>
      <c r="B55" s="39" t="s">
        <v>298</v>
      </c>
      <c r="C55" s="1"/>
      <c r="D55" s="40" t="n">
        <f aca="false">D53-D54</f>
        <v>374800</v>
      </c>
      <c r="E55" s="40" t="n">
        <f aca="false">E53-E54</f>
        <v>738200</v>
      </c>
      <c r="F55" s="40" t="n">
        <f aca="false">F53-F54</f>
        <v>794500</v>
      </c>
      <c r="G55" s="40" t="n">
        <f aca="false">G53-G54</f>
        <v>628300</v>
      </c>
      <c r="H55" s="40" t="n">
        <f aca="false">H53-H54</f>
        <v>835000</v>
      </c>
      <c r="I55" s="40" t="n">
        <f aca="false">I53-I54</f>
        <v>536800</v>
      </c>
      <c r="J55" s="40" t="n">
        <f aca="false">J53-J54</f>
        <v>820200</v>
      </c>
      <c r="K55" s="40" t="n">
        <f aca="false">K53-K54</f>
        <v>213300</v>
      </c>
      <c r="L55" s="40" t="n">
        <f aca="false">L53-L54</f>
        <v>680700</v>
      </c>
      <c r="M55" s="40" t="n">
        <f aca="false">M53-M54</f>
        <v>1067400</v>
      </c>
      <c r="N55" s="40" t="n">
        <f aca="false">N53-N54</f>
        <v>850000</v>
      </c>
      <c r="O55" s="40" t="n">
        <f aca="false">O53-O54</f>
        <v>871000</v>
      </c>
      <c r="P55" s="40" t="n">
        <f aca="false">SUM(D55:O55)</f>
        <v>8410200</v>
      </c>
    </row>
    <row r="56" customFormat="false" ht="15" hidden="false" customHeight="false" outlineLevel="0" collapsed="false">
      <c r="A56" s="29"/>
      <c r="B56" s="38" t="s">
        <v>299</v>
      </c>
      <c r="C56" s="29"/>
      <c r="D56" s="31" t="n">
        <f aca="false">D14+D30+D45</f>
        <v>6478000</v>
      </c>
      <c r="E56" s="31" t="n">
        <f aca="false">E14+E30+E45</f>
        <v>7390000</v>
      </c>
      <c r="F56" s="31" t="n">
        <f aca="false">F14+F30+F45</f>
        <v>7651000</v>
      </c>
      <c r="G56" s="31" t="n">
        <f aca="false">G14+G30+G45</f>
        <v>7141000</v>
      </c>
      <c r="H56" s="31" t="n">
        <f aca="false">H14+H30+H45</f>
        <v>7947000</v>
      </c>
      <c r="I56" s="31" t="n">
        <f aca="false">I14+I30+I45</f>
        <v>8075000</v>
      </c>
      <c r="J56" s="31" t="n">
        <f aca="false">J14+J30+J45</f>
        <v>7685000</v>
      </c>
      <c r="K56" s="31" t="n">
        <f aca="false">K14+K30+K45</f>
        <v>6154000</v>
      </c>
      <c r="L56" s="31" t="n">
        <f aca="false">L14+L30+L45</f>
        <v>7380000</v>
      </c>
      <c r="M56" s="31" t="n">
        <f aca="false">M14+M30+M45</f>
        <v>8574000</v>
      </c>
      <c r="N56" s="31" t="n">
        <f aca="false">N14+N30+N45</f>
        <v>7885000</v>
      </c>
      <c r="O56" s="31" t="n">
        <f aca="false">O14+O30+O45</f>
        <v>8494000</v>
      </c>
      <c r="P56" s="31" t="n">
        <f aca="false">SUM(D56:O56)</f>
        <v>90854000</v>
      </c>
    </row>
    <row r="57" customFormat="false" ht="15" hidden="false" customHeight="false" outlineLevel="0" collapsed="false">
      <c r="A57" s="29"/>
      <c r="B57" s="38" t="s">
        <v>300</v>
      </c>
      <c r="C57" s="29"/>
      <c r="D57" s="31" t="n">
        <f aca="false">D23+D36+D51+D54</f>
        <v>6103200</v>
      </c>
      <c r="E57" s="31" t="n">
        <f aca="false">E23+E36+E51+E54</f>
        <v>6651800</v>
      </c>
      <c r="F57" s="31" t="n">
        <f aca="false">F23+F36+F51+F54</f>
        <v>6856500</v>
      </c>
      <c r="G57" s="31" t="n">
        <f aca="false">G23+G36+G51+G54</f>
        <v>6512700</v>
      </c>
      <c r="H57" s="31" t="n">
        <f aca="false">H23+H36+H51+H54</f>
        <v>7112000</v>
      </c>
      <c r="I57" s="31" t="n">
        <f aca="false">I23+I36+I51+I54</f>
        <v>7538200</v>
      </c>
      <c r="J57" s="31" t="n">
        <f aca="false">J23+J36+J51+J54</f>
        <v>6864800</v>
      </c>
      <c r="K57" s="31" t="n">
        <f aca="false">K23+K36+K51+K54</f>
        <v>5940700</v>
      </c>
      <c r="L57" s="31" t="n">
        <f aca="false">L23+L36+L51+L54</f>
        <v>6699300</v>
      </c>
      <c r="M57" s="31" t="n">
        <f aca="false">M23+M36+M51+M54</f>
        <v>7506600</v>
      </c>
      <c r="N57" s="31" t="n">
        <f aca="false">N23+N36+N51+N54</f>
        <v>7035000</v>
      </c>
      <c r="O57" s="31" t="n">
        <f aca="false">O23+O36+O51+O54</f>
        <v>7623000</v>
      </c>
      <c r="P57" s="31" t="n">
        <f aca="false">SUM(D57:O57)</f>
        <v>82443800</v>
      </c>
    </row>
    <row r="58" customFormat="false" ht="15" hidden="false" customHeight="false" outlineLevel="0" collapsed="false">
      <c r="A58" s="1"/>
      <c r="B58" s="39" t="s">
        <v>301</v>
      </c>
      <c r="C58" s="1"/>
      <c r="D58" s="40" t="n">
        <f aca="false">D56-D57</f>
        <v>374800</v>
      </c>
      <c r="E58" s="40" t="n">
        <f aca="false">E56-E57</f>
        <v>738200</v>
      </c>
      <c r="F58" s="40" t="n">
        <f aca="false">F56-F57</f>
        <v>794500</v>
      </c>
      <c r="G58" s="40" t="n">
        <f aca="false">G56-G57</f>
        <v>628300</v>
      </c>
      <c r="H58" s="40" t="n">
        <f aca="false">H56-H57</f>
        <v>835000</v>
      </c>
      <c r="I58" s="40" t="n">
        <f aca="false">I56-I57</f>
        <v>536800</v>
      </c>
      <c r="J58" s="40" t="n">
        <f aca="false">J56-J57</f>
        <v>820200</v>
      </c>
      <c r="K58" s="40" t="n">
        <f aca="false">K56-K57</f>
        <v>213300</v>
      </c>
      <c r="L58" s="40" t="n">
        <f aca="false">L56-L57</f>
        <v>680700</v>
      </c>
      <c r="M58" s="40" t="n">
        <f aca="false">M56-M57</f>
        <v>1067400</v>
      </c>
      <c r="N58" s="40" t="n">
        <f aca="false">N56-N57</f>
        <v>850000</v>
      </c>
      <c r="O58" s="40" t="n">
        <f aca="false">O56-O57</f>
        <v>871000</v>
      </c>
      <c r="P58" s="40" t="n">
        <f aca="false">SUM(D58:O58)</f>
        <v>8410200</v>
      </c>
    </row>
    <row r="60" customFormat="false" ht="15" hidden="false" customHeight="false" outlineLevel="0" collapsed="false">
      <c r="B60" s="41" t="s">
        <v>302</v>
      </c>
      <c r="D60" s="42" t="n">
        <f aca="false">D55-D58</f>
        <v>0</v>
      </c>
      <c r="E60" s="42" t="n">
        <f aca="false">E55-E58</f>
        <v>0</v>
      </c>
      <c r="F60" s="42" t="n">
        <f aca="false">F55-F58</f>
        <v>0</v>
      </c>
      <c r="G60" s="42" t="n">
        <f aca="false">G55-G58</f>
        <v>0</v>
      </c>
      <c r="H60" s="42" t="n">
        <f aca="false">H55-H58</f>
        <v>0</v>
      </c>
      <c r="I60" s="42" t="n">
        <f aca="false">I55-I58</f>
        <v>0</v>
      </c>
      <c r="J60" s="42" t="n">
        <f aca="false">J55-J58</f>
        <v>0</v>
      </c>
      <c r="K60" s="42" t="n">
        <f aca="false">K55-K58</f>
        <v>0</v>
      </c>
      <c r="L60" s="42" t="n">
        <f aca="false">L55-L58</f>
        <v>0</v>
      </c>
      <c r="M60" s="42" t="n">
        <f aca="false">M55-M58</f>
        <v>0</v>
      </c>
      <c r="N60" s="42" t="n">
        <f aca="false">N55-N58</f>
        <v>0</v>
      </c>
      <c r="O60" s="42" t="n">
        <f aca="false">O55-O58</f>
        <v>0</v>
      </c>
      <c r="P60" s="42" t="n">
        <f aca="false">P55-P58</f>
        <v>0</v>
      </c>
    </row>
  </sheetData>
  <hyperlinks>
    <hyperlink ref="P1" location="Accueil!A1" display="⌂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4C"/>
    <pageSetUpPr fitToPage="true"/>
  </sheetPr>
  <dimension ref="A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15" min="4" style="0" width="12.5"/>
    <col collapsed="false" customWidth="true" hidden="false" outlineLevel="0" max="16" min="16" style="0" width="15"/>
  </cols>
  <sheetData>
    <row r="1" customFormat="false" ht="30" hidden="false" customHeight="true" outlineLevel="0" collapsed="false">
      <c r="A1" s="16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7" t="s">
        <v>46</v>
      </c>
    </row>
    <row r="2" customFormat="false" ht="15" hidden="false" customHeight="false" outlineLevel="0" collapsed="false">
      <c r="A2" s="18" t="s">
        <v>304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27.75" hidden="false" customHeight="true" outlineLevel="0" collapsed="false">
      <c r="A4" s="21" t="s">
        <v>207</v>
      </c>
      <c r="B4" s="21" t="s">
        <v>208</v>
      </c>
      <c r="C4" s="21" t="s">
        <v>305</v>
      </c>
      <c r="D4" s="21" t="s">
        <v>55</v>
      </c>
      <c r="E4" s="21" t="s">
        <v>56</v>
      </c>
      <c r="F4" s="21" t="s">
        <v>57</v>
      </c>
      <c r="G4" s="21" t="s">
        <v>58</v>
      </c>
      <c r="H4" s="21" t="s">
        <v>59</v>
      </c>
      <c r="I4" s="21" t="s">
        <v>60</v>
      </c>
      <c r="J4" s="21" t="s">
        <v>61</v>
      </c>
      <c r="K4" s="21" t="s">
        <v>62</v>
      </c>
      <c r="L4" s="21" t="s">
        <v>63</v>
      </c>
      <c r="M4" s="21" t="s">
        <v>64</v>
      </c>
      <c r="N4" s="21" t="s">
        <v>65</v>
      </c>
      <c r="O4" s="21" t="s">
        <v>42</v>
      </c>
      <c r="P4" s="21" t="s">
        <v>210</v>
      </c>
    </row>
    <row r="5" customFormat="false" ht="15" hidden="false" customHeight="false" outlineLevel="0" collapsed="false">
      <c r="A5" s="34" t="s">
        <v>306</v>
      </c>
      <c r="B5" s="23" t="s">
        <v>307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customFormat="false" ht="15" hidden="false" customHeight="false" outlineLevel="0" collapsed="false">
      <c r="A6" s="28"/>
      <c r="B6" s="10" t="s">
        <v>308</v>
      </c>
      <c r="C6" s="35" t="s">
        <v>309</v>
      </c>
      <c r="D6" s="36" t="n">
        <f aca="false">CPC!D6</f>
        <v>127000</v>
      </c>
      <c r="E6" s="36" t="n">
        <f aca="false">CPC!E6</f>
        <v>135000</v>
      </c>
      <c r="F6" s="36" t="n">
        <f aca="false">CPC!F6</f>
        <v>148000</v>
      </c>
      <c r="G6" s="36" t="n">
        <f aca="false">CPC!G6</f>
        <v>140000</v>
      </c>
      <c r="H6" s="36" t="n">
        <f aca="false">CPC!H6</f>
        <v>147000</v>
      </c>
      <c r="I6" s="36" t="n">
        <f aca="false">CPC!I6</f>
        <v>153000</v>
      </c>
      <c r="J6" s="36" t="n">
        <f aca="false">CPC!J6</f>
        <v>145000</v>
      </c>
      <c r="K6" s="36" t="n">
        <f aca="false">CPC!K6</f>
        <v>117000</v>
      </c>
      <c r="L6" s="36" t="n">
        <f aca="false">CPC!L6</f>
        <v>144000</v>
      </c>
      <c r="M6" s="36" t="n">
        <f aca="false">CPC!M6</f>
        <v>155000</v>
      </c>
      <c r="N6" s="36" t="n">
        <f aca="false">CPC!N6</f>
        <v>154000</v>
      </c>
      <c r="O6" s="36" t="n">
        <f aca="false">CPC!O6</f>
        <v>161000</v>
      </c>
      <c r="P6" s="27" t="n">
        <f aca="false">SUM(D6:O6)</f>
        <v>1726000</v>
      </c>
    </row>
    <row r="7" customFormat="false" ht="15" hidden="false" customHeight="false" outlineLevel="0" collapsed="false">
      <c r="A7" s="28"/>
      <c r="B7" s="10" t="s">
        <v>310</v>
      </c>
      <c r="C7" s="35" t="s">
        <v>309</v>
      </c>
      <c r="D7" s="36" t="n">
        <f aca="false">CPC!D16</f>
        <v>94000</v>
      </c>
      <c r="E7" s="36" t="n">
        <f aca="false">CPC!E16</f>
        <v>100000</v>
      </c>
      <c r="F7" s="36" t="n">
        <f aca="false">CPC!F16</f>
        <v>110000</v>
      </c>
      <c r="G7" s="36" t="n">
        <f aca="false">CPC!G16</f>
        <v>104000</v>
      </c>
      <c r="H7" s="36" t="n">
        <f aca="false">CPC!H16</f>
        <v>109000</v>
      </c>
      <c r="I7" s="36" t="n">
        <f aca="false">CPC!I16</f>
        <v>113000</v>
      </c>
      <c r="J7" s="36" t="n">
        <f aca="false">CPC!J16</f>
        <v>107000</v>
      </c>
      <c r="K7" s="36" t="n">
        <f aca="false">CPC!K16</f>
        <v>87000</v>
      </c>
      <c r="L7" s="36" t="n">
        <f aca="false">CPC!L16</f>
        <v>107000</v>
      </c>
      <c r="M7" s="36" t="n">
        <f aca="false">CPC!M16</f>
        <v>115000</v>
      </c>
      <c r="N7" s="36" t="n">
        <f aca="false">CPC!N16</f>
        <v>114000</v>
      </c>
      <c r="O7" s="36" t="n">
        <f aca="false">CPC!O16</f>
        <v>119000</v>
      </c>
      <c r="P7" s="27" t="n">
        <f aca="false">SUM(D7:O7)</f>
        <v>1279000</v>
      </c>
    </row>
    <row r="8" customFormat="false" ht="15" hidden="false" customHeight="false" outlineLevel="0" collapsed="false">
      <c r="A8" s="29"/>
      <c r="B8" s="38" t="s">
        <v>311</v>
      </c>
      <c r="C8" s="29"/>
      <c r="D8" s="31" t="n">
        <f aca="false">D6-D7</f>
        <v>33000</v>
      </c>
      <c r="E8" s="31" t="n">
        <f aca="false">E6-E7</f>
        <v>35000</v>
      </c>
      <c r="F8" s="31" t="n">
        <f aca="false">F6-F7</f>
        <v>38000</v>
      </c>
      <c r="G8" s="31" t="n">
        <f aca="false">G6-G7</f>
        <v>36000</v>
      </c>
      <c r="H8" s="31" t="n">
        <f aca="false">H6-H7</f>
        <v>38000</v>
      </c>
      <c r="I8" s="31" t="n">
        <f aca="false">I6-I7</f>
        <v>40000</v>
      </c>
      <c r="J8" s="31" t="n">
        <f aca="false">J6-J7</f>
        <v>38000</v>
      </c>
      <c r="K8" s="31" t="n">
        <f aca="false">K6-K7</f>
        <v>30000</v>
      </c>
      <c r="L8" s="31" t="n">
        <f aca="false">L6-L7</f>
        <v>37000</v>
      </c>
      <c r="M8" s="31" t="n">
        <f aca="false">M6-M7</f>
        <v>40000</v>
      </c>
      <c r="N8" s="31" t="n">
        <f aca="false">N6-N7</f>
        <v>40000</v>
      </c>
      <c r="O8" s="31" t="n">
        <f aca="false">O6-O7</f>
        <v>42000</v>
      </c>
      <c r="P8" s="31" t="n">
        <f aca="false">SUM(D8:O8)</f>
        <v>447000</v>
      </c>
    </row>
    <row r="9" customFormat="false" ht="15" hidden="false" customHeight="false" outlineLevel="0" collapsed="false">
      <c r="A9" s="28"/>
      <c r="B9" s="10" t="s">
        <v>312</v>
      </c>
      <c r="C9" s="35" t="s">
        <v>309</v>
      </c>
      <c r="D9" s="36" t="n">
        <f aca="false">CPC!D7</f>
        <v>6333000</v>
      </c>
      <c r="E9" s="36" t="n">
        <f aca="false">CPC!E7</f>
        <v>6727000</v>
      </c>
      <c r="F9" s="36" t="n">
        <f aca="false">CPC!F7</f>
        <v>7382000</v>
      </c>
      <c r="G9" s="36" t="n">
        <f aca="false">CPC!G7</f>
        <v>6999000</v>
      </c>
      <c r="H9" s="36" t="n">
        <f aca="false">CPC!H7</f>
        <v>7359000</v>
      </c>
      <c r="I9" s="36" t="n">
        <f aca="false">CPC!I7</f>
        <v>7651000</v>
      </c>
      <c r="J9" s="36" t="n">
        <f aca="false">CPC!J7</f>
        <v>7233000</v>
      </c>
      <c r="K9" s="36" t="n">
        <f aca="false">CPC!K7</f>
        <v>5851000</v>
      </c>
      <c r="L9" s="36" t="n">
        <f aca="false">CPC!L7</f>
        <v>7203000</v>
      </c>
      <c r="M9" s="36" t="n">
        <f aca="false">CPC!M7</f>
        <v>7739000</v>
      </c>
      <c r="N9" s="36" t="n">
        <f aca="false">CPC!N7</f>
        <v>7713000</v>
      </c>
      <c r="O9" s="36" t="n">
        <f aca="false">CPC!O7</f>
        <v>8059000</v>
      </c>
      <c r="P9" s="27" t="n">
        <f aca="false">SUM(D9:O9)</f>
        <v>86249000</v>
      </c>
    </row>
    <row r="10" customFormat="false" ht="15" hidden="false" customHeight="false" outlineLevel="0" collapsed="false">
      <c r="A10" s="28"/>
      <c r="B10" s="10" t="s">
        <v>313</v>
      </c>
      <c r="C10" s="35" t="s">
        <v>309</v>
      </c>
      <c r="D10" s="36" t="n">
        <f aca="false">CPC!D9</f>
        <v>-99000</v>
      </c>
      <c r="E10" s="36" t="n">
        <f aca="false">CPC!E9</f>
        <v>347000</v>
      </c>
      <c r="F10" s="36" t="n">
        <f aca="false">CPC!F9</f>
        <v>-179000</v>
      </c>
      <c r="G10" s="36" t="n">
        <f aca="false">CPC!G9</f>
        <v>-154000</v>
      </c>
      <c r="H10" s="36" t="n">
        <f aca="false">CPC!H9</f>
        <v>306000</v>
      </c>
      <c r="I10" s="36" t="n">
        <f aca="false">CPC!I9</f>
        <v>135000</v>
      </c>
      <c r="J10" s="36" t="n">
        <f aca="false">CPC!J9</f>
        <v>132000</v>
      </c>
      <c r="K10" s="36" t="n">
        <f aca="false">CPC!K9</f>
        <v>63000</v>
      </c>
      <c r="L10" s="36" t="n">
        <f aca="false">CPC!L9</f>
        <v>-230000</v>
      </c>
      <c r="M10" s="36" t="n">
        <f aca="false">CPC!M9</f>
        <v>414000</v>
      </c>
      <c r="N10" s="36" t="n">
        <f aca="false">CPC!N9</f>
        <v>-121000</v>
      </c>
      <c r="O10" s="36" t="n">
        <f aca="false">CPC!O9</f>
        <v>64000</v>
      </c>
      <c r="P10" s="27" t="n">
        <f aca="false">SUM(D10:O10)</f>
        <v>678000</v>
      </c>
    </row>
    <row r="11" customFormat="false" ht="15" hidden="false" customHeight="false" outlineLevel="0" collapsed="false">
      <c r="A11" s="28"/>
      <c r="B11" s="10" t="s">
        <v>314</v>
      </c>
      <c r="C11" s="35" t="s">
        <v>309</v>
      </c>
      <c r="D11" s="36" t="n">
        <f aca="false">CPC!D10</f>
        <v>0</v>
      </c>
      <c r="E11" s="36" t="n">
        <f aca="false">CPC!E10</f>
        <v>0</v>
      </c>
      <c r="F11" s="36" t="n">
        <f aca="false">CPC!F10</f>
        <v>120000</v>
      </c>
      <c r="G11" s="36" t="n">
        <f aca="false">CPC!G10</f>
        <v>0</v>
      </c>
      <c r="H11" s="36" t="n">
        <f aca="false">CPC!H10</f>
        <v>0</v>
      </c>
      <c r="I11" s="36" t="n">
        <f aca="false">CPC!I10</f>
        <v>0</v>
      </c>
      <c r="J11" s="36" t="n">
        <f aca="false">CPC!J10</f>
        <v>0</v>
      </c>
      <c r="K11" s="36" t="n">
        <f aca="false">CPC!K10</f>
        <v>0</v>
      </c>
      <c r="L11" s="36" t="n">
        <f aca="false">CPC!L10</f>
        <v>95000</v>
      </c>
      <c r="M11" s="36" t="n">
        <f aca="false">CPC!M10</f>
        <v>0</v>
      </c>
      <c r="N11" s="36" t="n">
        <f aca="false">CPC!N10</f>
        <v>0</v>
      </c>
      <c r="O11" s="36" t="n">
        <f aca="false">CPC!O10</f>
        <v>0</v>
      </c>
      <c r="P11" s="27" t="n">
        <f aca="false">SUM(D11:O11)</f>
        <v>215000</v>
      </c>
    </row>
    <row r="12" customFormat="false" ht="15" hidden="false" customHeight="false" outlineLevel="0" collapsed="false">
      <c r="A12" s="29"/>
      <c r="B12" s="38" t="s">
        <v>315</v>
      </c>
      <c r="C12" s="29"/>
      <c r="D12" s="31" t="n">
        <f aca="false">D9+D10+D11</f>
        <v>6234000</v>
      </c>
      <c r="E12" s="31" t="n">
        <f aca="false">E9+E10+E11</f>
        <v>7074000</v>
      </c>
      <c r="F12" s="31" t="n">
        <f aca="false">F9+F10+F11</f>
        <v>7323000</v>
      </c>
      <c r="G12" s="31" t="n">
        <f aca="false">G9+G10+G11</f>
        <v>6845000</v>
      </c>
      <c r="H12" s="31" t="n">
        <f aca="false">H9+H10+H11</f>
        <v>7665000</v>
      </c>
      <c r="I12" s="31" t="n">
        <f aca="false">I9+I10+I11</f>
        <v>7786000</v>
      </c>
      <c r="J12" s="31" t="n">
        <f aca="false">J9+J10+J11</f>
        <v>7365000</v>
      </c>
      <c r="K12" s="31" t="n">
        <f aca="false">K9+K10+K11</f>
        <v>5914000</v>
      </c>
      <c r="L12" s="31" t="n">
        <f aca="false">L9+L10+L11</f>
        <v>7068000</v>
      </c>
      <c r="M12" s="31" t="n">
        <f aca="false">M9+M10+M11</f>
        <v>8153000</v>
      </c>
      <c r="N12" s="31" t="n">
        <f aca="false">N9+N10+N11</f>
        <v>7592000</v>
      </c>
      <c r="O12" s="31" t="n">
        <f aca="false">O9+O10+O11</f>
        <v>8123000</v>
      </c>
      <c r="P12" s="31" t="n">
        <f aca="false">SUM(D12:O12)</f>
        <v>87142000</v>
      </c>
    </row>
    <row r="13" customFormat="false" ht="15" hidden="false" customHeight="false" outlineLevel="0" collapsed="false">
      <c r="A13" s="28"/>
      <c r="B13" s="10" t="s">
        <v>316</v>
      </c>
      <c r="C13" s="35" t="s">
        <v>309</v>
      </c>
      <c r="D13" s="36" t="n">
        <f aca="false">CPC!D17</f>
        <v>3086000</v>
      </c>
      <c r="E13" s="36" t="n">
        <f aca="false">CPC!E17</f>
        <v>3502000</v>
      </c>
      <c r="F13" s="36" t="n">
        <f aca="false">CPC!F17</f>
        <v>3625000</v>
      </c>
      <c r="G13" s="36" t="n">
        <f aca="false">CPC!G17</f>
        <v>3388000</v>
      </c>
      <c r="H13" s="36" t="n">
        <f aca="false">CPC!H17</f>
        <v>3794000</v>
      </c>
      <c r="I13" s="36" t="n">
        <f aca="false">CPC!I17</f>
        <v>3855000</v>
      </c>
      <c r="J13" s="36" t="n">
        <f aca="false">CPC!J17</f>
        <v>3646000</v>
      </c>
      <c r="K13" s="36" t="n">
        <f aca="false">CPC!K17</f>
        <v>2927000</v>
      </c>
      <c r="L13" s="36" t="n">
        <f aca="false">CPC!L17</f>
        <v>3498000</v>
      </c>
      <c r="M13" s="36" t="n">
        <f aca="false">CPC!M17</f>
        <v>4036000</v>
      </c>
      <c r="N13" s="36" t="n">
        <f aca="false">CPC!N17</f>
        <v>3759000</v>
      </c>
      <c r="O13" s="36" t="n">
        <f aca="false">CPC!O17</f>
        <v>4021000</v>
      </c>
      <c r="P13" s="27" t="n">
        <f aca="false">SUM(D13:O13)</f>
        <v>43137000</v>
      </c>
    </row>
    <row r="14" customFormat="false" ht="15" hidden="false" customHeight="false" outlineLevel="0" collapsed="false">
      <c r="A14" s="28"/>
      <c r="B14" s="10" t="s">
        <v>317</v>
      </c>
      <c r="C14" s="35" t="s">
        <v>309</v>
      </c>
      <c r="D14" s="36" t="n">
        <f aca="false">CPC!D18</f>
        <v>422000</v>
      </c>
      <c r="E14" s="36" t="n">
        <f aca="false">CPC!E18</f>
        <v>442000</v>
      </c>
      <c r="F14" s="36" t="n">
        <f aca="false">CPC!F18</f>
        <v>458000</v>
      </c>
      <c r="G14" s="36" t="n">
        <f aca="false">CPC!G18</f>
        <v>444000</v>
      </c>
      <c r="H14" s="36" t="n">
        <f aca="false">CPC!H18</f>
        <v>552000</v>
      </c>
      <c r="I14" s="36" t="n">
        <f aca="false">CPC!I18</f>
        <v>889000</v>
      </c>
      <c r="J14" s="36" t="n">
        <f aca="false">CPC!J18</f>
        <v>455000</v>
      </c>
      <c r="K14" s="36" t="n">
        <f aca="false">CPC!K18</f>
        <v>408000</v>
      </c>
      <c r="L14" s="36" t="n">
        <f aca="false">CPC!L18</f>
        <v>450000</v>
      </c>
      <c r="M14" s="36" t="n">
        <f aca="false">CPC!M18</f>
        <v>476000</v>
      </c>
      <c r="N14" s="36" t="n">
        <f aca="false">CPC!N18</f>
        <v>468000</v>
      </c>
      <c r="O14" s="36" t="n">
        <f aca="false">CPC!O18</f>
        <v>482000</v>
      </c>
      <c r="P14" s="27" t="n">
        <f aca="false">SUM(D14:O14)</f>
        <v>5946000</v>
      </c>
    </row>
    <row r="15" customFormat="false" ht="15" hidden="false" customHeight="false" outlineLevel="0" collapsed="false">
      <c r="A15" s="29"/>
      <c r="B15" s="38" t="s">
        <v>318</v>
      </c>
      <c r="C15" s="29"/>
      <c r="D15" s="31" t="n">
        <f aca="false">D13+D14</f>
        <v>3508000</v>
      </c>
      <c r="E15" s="31" t="n">
        <f aca="false">E13+E14</f>
        <v>3944000</v>
      </c>
      <c r="F15" s="31" t="n">
        <f aca="false">F13+F14</f>
        <v>4083000</v>
      </c>
      <c r="G15" s="31" t="n">
        <f aca="false">G13+G14</f>
        <v>3832000</v>
      </c>
      <c r="H15" s="31" t="n">
        <f aca="false">H13+H14</f>
        <v>4346000</v>
      </c>
      <c r="I15" s="31" t="n">
        <f aca="false">I13+I14</f>
        <v>4744000</v>
      </c>
      <c r="J15" s="31" t="n">
        <f aca="false">J13+J14</f>
        <v>4101000</v>
      </c>
      <c r="K15" s="31" t="n">
        <f aca="false">K13+K14</f>
        <v>3335000</v>
      </c>
      <c r="L15" s="31" t="n">
        <f aca="false">L13+L14</f>
        <v>3948000</v>
      </c>
      <c r="M15" s="31" t="n">
        <f aca="false">M13+M14</f>
        <v>4512000</v>
      </c>
      <c r="N15" s="31" t="n">
        <f aca="false">N13+N14</f>
        <v>4227000</v>
      </c>
      <c r="O15" s="31" t="n">
        <f aca="false">O13+O14</f>
        <v>4503000</v>
      </c>
      <c r="P15" s="31" t="n">
        <f aca="false">SUM(D15:O15)</f>
        <v>49083000</v>
      </c>
    </row>
    <row r="16" customFormat="false" ht="15" hidden="false" customHeight="false" outlineLevel="0" collapsed="false">
      <c r="A16" s="1"/>
      <c r="B16" s="39" t="s">
        <v>319</v>
      </c>
      <c r="C16" s="1"/>
      <c r="D16" s="40" t="n">
        <f aca="false">D8+D12-D15</f>
        <v>2759000</v>
      </c>
      <c r="E16" s="40" t="n">
        <f aca="false">E8+E12-E15</f>
        <v>3165000</v>
      </c>
      <c r="F16" s="40" t="n">
        <f aca="false">F8+F12-F15</f>
        <v>3278000</v>
      </c>
      <c r="G16" s="40" t="n">
        <f aca="false">G8+G12-G15</f>
        <v>3049000</v>
      </c>
      <c r="H16" s="40" t="n">
        <f aca="false">H8+H12-H15</f>
        <v>3357000</v>
      </c>
      <c r="I16" s="40" t="n">
        <f aca="false">I8+I12-I15</f>
        <v>3082000</v>
      </c>
      <c r="J16" s="40" t="n">
        <f aca="false">J8+J12-J15</f>
        <v>3302000</v>
      </c>
      <c r="K16" s="40" t="n">
        <f aca="false">K8+K12-K15</f>
        <v>2609000</v>
      </c>
      <c r="L16" s="40" t="n">
        <f aca="false">L8+L12-L15</f>
        <v>3157000</v>
      </c>
      <c r="M16" s="40" t="n">
        <f aca="false">M8+M12-M15</f>
        <v>3681000</v>
      </c>
      <c r="N16" s="40" t="n">
        <f aca="false">N8+N12-N15</f>
        <v>3405000</v>
      </c>
      <c r="O16" s="40" t="n">
        <f aca="false">O8+O12-O15</f>
        <v>3662000</v>
      </c>
      <c r="P16" s="40" t="n">
        <f aca="false">SUM(D16:O16)</f>
        <v>38506000</v>
      </c>
    </row>
    <row r="17" customFormat="false" ht="15" hidden="false" customHeight="false" outlineLevel="0" collapsed="false">
      <c r="A17" s="28"/>
      <c r="B17" s="10" t="s">
        <v>320</v>
      </c>
      <c r="C17" s="35" t="s">
        <v>309</v>
      </c>
      <c r="D17" s="36" t="n">
        <f aca="false">CPC!D11</f>
        <v>40000</v>
      </c>
      <c r="E17" s="36" t="n">
        <f aca="false">CPC!E11</f>
        <v>40000</v>
      </c>
      <c r="F17" s="36" t="n">
        <f aca="false">CPC!F11</f>
        <v>40000</v>
      </c>
      <c r="G17" s="36" t="n">
        <f aca="false">CPC!G11</f>
        <v>40000</v>
      </c>
      <c r="H17" s="36" t="n">
        <f aca="false">CPC!H11</f>
        <v>40000</v>
      </c>
      <c r="I17" s="36" t="n">
        <f aca="false">CPC!I11</f>
        <v>40000</v>
      </c>
      <c r="J17" s="36" t="n">
        <f aca="false">CPC!J11</f>
        <v>40000</v>
      </c>
      <c r="K17" s="36" t="n">
        <f aca="false">CPC!K11</f>
        <v>40000</v>
      </c>
      <c r="L17" s="36" t="n">
        <f aca="false">CPC!L11</f>
        <v>40000</v>
      </c>
      <c r="M17" s="36" t="n">
        <f aca="false">CPC!M11</f>
        <v>40000</v>
      </c>
      <c r="N17" s="36" t="n">
        <f aca="false">CPC!N11</f>
        <v>40000</v>
      </c>
      <c r="O17" s="36" t="n">
        <f aca="false">CPC!O11</f>
        <v>40000</v>
      </c>
      <c r="P17" s="27" t="n">
        <f aca="false">SUM(D17:O17)</f>
        <v>480000</v>
      </c>
    </row>
    <row r="18" customFormat="false" ht="15" hidden="false" customHeight="false" outlineLevel="0" collapsed="false">
      <c r="A18" s="28"/>
      <c r="B18" s="10" t="s">
        <v>321</v>
      </c>
      <c r="C18" s="35" t="s">
        <v>309</v>
      </c>
      <c r="D18" s="36" t="n">
        <f aca="false">CPC!D19</f>
        <v>25000</v>
      </c>
      <c r="E18" s="36" t="n">
        <f aca="false">CPC!E19</f>
        <v>25000</v>
      </c>
      <c r="F18" s="36" t="n">
        <f aca="false">CPC!F19</f>
        <v>25000</v>
      </c>
      <c r="G18" s="36" t="n">
        <f aca="false">CPC!G19</f>
        <v>25000</v>
      </c>
      <c r="H18" s="36" t="n">
        <f aca="false">CPC!H19</f>
        <v>25000</v>
      </c>
      <c r="I18" s="36" t="n">
        <f aca="false">CPC!I19</f>
        <v>25000</v>
      </c>
      <c r="J18" s="36" t="n">
        <f aca="false">CPC!J19</f>
        <v>25000</v>
      </c>
      <c r="K18" s="36" t="n">
        <f aca="false">CPC!K19</f>
        <v>25000</v>
      </c>
      <c r="L18" s="36" t="n">
        <f aca="false">CPC!L19</f>
        <v>25000</v>
      </c>
      <c r="M18" s="36" t="n">
        <f aca="false">CPC!M19</f>
        <v>25000</v>
      </c>
      <c r="N18" s="36" t="n">
        <f aca="false">CPC!N19</f>
        <v>25000</v>
      </c>
      <c r="O18" s="36" t="n">
        <f aca="false">CPC!O19</f>
        <v>25000</v>
      </c>
      <c r="P18" s="27" t="n">
        <f aca="false">SUM(D18:O18)</f>
        <v>300000</v>
      </c>
    </row>
    <row r="19" customFormat="false" ht="15" hidden="false" customHeight="false" outlineLevel="0" collapsed="false">
      <c r="A19" s="28"/>
      <c r="B19" s="10" t="s">
        <v>322</v>
      </c>
      <c r="C19" s="35" t="s">
        <v>309</v>
      </c>
      <c r="D19" s="36" t="n">
        <f aca="false">CPC!D20</f>
        <v>1869000</v>
      </c>
      <c r="E19" s="36" t="n">
        <f aca="false">CPC!E20</f>
        <v>1876000</v>
      </c>
      <c r="F19" s="36" t="n">
        <f aca="false">CPC!F20</f>
        <v>1884000</v>
      </c>
      <c r="G19" s="36" t="n">
        <f aca="false">CPC!G20</f>
        <v>1891000</v>
      </c>
      <c r="H19" s="36" t="n">
        <f aca="false">CPC!H20</f>
        <v>1898000</v>
      </c>
      <c r="I19" s="36" t="n">
        <f aca="false">CPC!I20</f>
        <v>1906000</v>
      </c>
      <c r="J19" s="36" t="n">
        <f aca="false">CPC!J20</f>
        <v>1913000</v>
      </c>
      <c r="K19" s="36" t="n">
        <f aca="false">CPC!K20</f>
        <v>1921000</v>
      </c>
      <c r="L19" s="36" t="n">
        <f aca="false">CPC!L20</f>
        <v>1928000</v>
      </c>
      <c r="M19" s="36" t="n">
        <f aca="false">CPC!M20</f>
        <v>1936000</v>
      </c>
      <c r="N19" s="36" t="n">
        <f aca="false">CPC!N20</f>
        <v>1943000</v>
      </c>
      <c r="O19" s="36" t="n">
        <f aca="false">CPC!O20</f>
        <v>2095000</v>
      </c>
      <c r="P19" s="27" t="n">
        <f aca="false">SUM(D19:O19)</f>
        <v>23060000</v>
      </c>
    </row>
    <row r="20" customFormat="false" ht="15" hidden="false" customHeight="false" outlineLevel="0" collapsed="false">
      <c r="A20" s="1"/>
      <c r="B20" s="39" t="s">
        <v>323</v>
      </c>
      <c r="C20" s="1"/>
      <c r="D20" s="40" t="n">
        <f aca="false">D16+D17-D18-D19</f>
        <v>905000</v>
      </c>
      <c r="E20" s="40" t="n">
        <f aca="false">E16+E17-E18-E19</f>
        <v>1304000</v>
      </c>
      <c r="F20" s="40" t="n">
        <f aca="false">F16+F17-F18-F19</f>
        <v>1409000</v>
      </c>
      <c r="G20" s="40" t="n">
        <f aca="false">G16+G17-G18-G19</f>
        <v>1173000</v>
      </c>
      <c r="H20" s="40" t="n">
        <f aca="false">H16+H17-H18-H19</f>
        <v>1474000</v>
      </c>
      <c r="I20" s="40" t="n">
        <f aca="false">I16+I17-I18-I19</f>
        <v>1191000</v>
      </c>
      <c r="J20" s="40" t="n">
        <f aca="false">J16+J17-J18-J19</f>
        <v>1404000</v>
      </c>
      <c r="K20" s="40" t="n">
        <f aca="false">K16+K17-K18-K19</f>
        <v>703000</v>
      </c>
      <c r="L20" s="40" t="n">
        <f aca="false">L16+L17-L18-L19</f>
        <v>1244000</v>
      </c>
      <c r="M20" s="40" t="n">
        <f aca="false">M16+M17-M18-M19</f>
        <v>1760000</v>
      </c>
      <c r="N20" s="40" t="n">
        <f aca="false">N16+N17-N18-N19</f>
        <v>1477000</v>
      </c>
      <c r="O20" s="40" t="n">
        <f aca="false">O16+O17-O18-O19</f>
        <v>1582000</v>
      </c>
      <c r="P20" s="40" t="n">
        <f aca="false">SUM(D20:O20)</f>
        <v>15626000</v>
      </c>
    </row>
    <row r="21" customFormat="false" ht="15" hidden="false" customHeight="false" outlineLevel="0" collapsed="false">
      <c r="A21" s="28"/>
      <c r="B21" s="10" t="s">
        <v>324</v>
      </c>
      <c r="C21" s="35" t="s">
        <v>309</v>
      </c>
      <c r="D21" s="36" t="n">
        <f aca="false">CPC!D12</f>
        <v>0</v>
      </c>
      <c r="E21" s="36" t="n">
        <f aca="false">CPC!E12</f>
        <v>0</v>
      </c>
      <c r="F21" s="36" t="n">
        <f aca="false">CPC!F12</f>
        <v>0</v>
      </c>
      <c r="G21" s="36" t="n">
        <f aca="false">CPC!G12</f>
        <v>0</v>
      </c>
      <c r="H21" s="36" t="n">
        <f aca="false">CPC!H12</f>
        <v>0</v>
      </c>
      <c r="I21" s="36" t="n">
        <f aca="false">CPC!I12</f>
        <v>0</v>
      </c>
      <c r="J21" s="36" t="n">
        <f aca="false">CPC!J12</f>
        <v>0</v>
      </c>
      <c r="K21" s="36" t="n">
        <f aca="false">CPC!K12</f>
        <v>0</v>
      </c>
      <c r="L21" s="36" t="n">
        <f aca="false">CPC!L12</f>
        <v>0</v>
      </c>
      <c r="M21" s="36" t="n">
        <f aca="false">CPC!M12</f>
        <v>0</v>
      </c>
      <c r="N21" s="36" t="n">
        <f aca="false">CPC!N12</f>
        <v>0</v>
      </c>
      <c r="O21" s="36" t="n">
        <f aca="false">CPC!O12</f>
        <v>0</v>
      </c>
      <c r="P21" s="27" t="n">
        <f aca="false">SUM(D21:O21)</f>
        <v>0</v>
      </c>
    </row>
    <row r="22" customFormat="false" ht="15" hidden="false" customHeight="false" outlineLevel="0" collapsed="false">
      <c r="A22" s="28"/>
      <c r="B22" s="10" t="s">
        <v>325</v>
      </c>
      <c r="C22" s="35" t="s">
        <v>309</v>
      </c>
      <c r="D22" s="36" t="n">
        <f aca="false">CPC!D21</f>
        <v>0</v>
      </c>
      <c r="E22" s="36" t="n">
        <f aca="false">CPC!E21</f>
        <v>0</v>
      </c>
      <c r="F22" s="36" t="n">
        <f aca="false">CPC!F21</f>
        <v>0</v>
      </c>
      <c r="G22" s="36" t="n">
        <f aca="false">CPC!G21</f>
        <v>0</v>
      </c>
      <c r="H22" s="36" t="n">
        <f aca="false">CPC!H21</f>
        <v>0</v>
      </c>
      <c r="I22" s="36" t="n">
        <f aca="false">CPC!I21</f>
        <v>0</v>
      </c>
      <c r="J22" s="36" t="n">
        <f aca="false">CPC!J21</f>
        <v>0</v>
      </c>
      <c r="K22" s="36" t="n">
        <f aca="false">CPC!K21</f>
        <v>0</v>
      </c>
      <c r="L22" s="36" t="n">
        <f aca="false">CPC!L21</f>
        <v>0</v>
      </c>
      <c r="M22" s="36" t="n">
        <f aca="false">CPC!M21</f>
        <v>0</v>
      </c>
      <c r="N22" s="36" t="n">
        <f aca="false">CPC!N21</f>
        <v>0</v>
      </c>
      <c r="O22" s="36" t="n">
        <f aca="false">CPC!O21</f>
        <v>35000</v>
      </c>
      <c r="P22" s="27" t="n">
        <f aca="false">SUM(D22:O22)</f>
        <v>35000</v>
      </c>
    </row>
    <row r="23" customFormat="false" ht="15" hidden="false" customHeight="false" outlineLevel="0" collapsed="false">
      <c r="A23" s="28"/>
      <c r="B23" s="10" t="s">
        <v>326</v>
      </c>
      <c r="C23" s="35" t="s">
        <v>309</v>
      </c>
      <c r="D23" s="36" t="n">
        <f aca="false">CPC!D13</f>
        <v>25000</v>
      </c>
      <c r="E23" s="36" t="n">
        <f aca="false">CPC!E13</f>
        <v>25000</v>
      </c>
      <c r="F23" s="36" t="n">
        <f aca="false">CPC!F13</f>
        <v>25000</v>
      </c>
      <c r="G23" s="36" t="n">
        <f aca="false">CPC!G13</f>
        <v>25000</v>
      </c>
      <c r="H23" s="36" t="n">
        <f aca="false">CPC!H13</f>
        <v>25000</v>
      </c>
      <c r="I23" s="36" t="n">
        <f aca="false">CPC!I13</f>
        <v>25000</v>
      </c>
      <c r="J23" s="36" t="n">
        <f aca="false">CPC!J13</f>
        <v>25000</v>
      </c>
      <c r="K23" s="36" t="n">
        <f aca="false">CPC!K13</f>
        <v>25000</v>
      </c>
      <c r="L23" s="36" t="n">
        <f aca="false">CPC!L13</f>
        <v>25000</v>
      </c>
      <c r="M23" s="36" t="n">
        <f aca="false">CPC!M13</f>
        <v>25000</v>
      </c>
      <c r="N23" s="36" t="n">
        <f aca="false">CPC!N13</f>
        <v>25000</v>
      </c>
      <c r="O23" s="36" t="n">
        <f aca="false">CPC!O13</f>
        <v>60000</v>
      </c>
      <c r="P23" s="27" t="n">
        <f aca="false">SUM(D23:O23)</f>
        <v>335000</v>
      </c>
    </row>
    <row r="24" customFormat="false" ht="15" hidden="false" customHeight="false" outlineLevel="0" collapsed="false">
      <c r="A24" s="28"/>
      <c r="B24" s="10" t="s">
        <v>327</v>
      </c>
      <c r="C24" s="35" t="s">
        <v>309</v>
      </c>
      <c r="D24" s="36" t="n">
        <f aca="false">CPC!D22</f>
        <v>382500</v>
      </c>
      <c r="E24" s="36" t="n">
        <f aca="false">CPC!E22</f>
        <v>382500</v>
      </c>
      <c r="F24" s="36" t="n">
        <f aca="false">CPC!F22</f>
        <v>382500</v>
      </c>
      <c r="G24" s="36" t="n">
        <f aca="false">CPC!G22</f>
        <v>382500</v>
      </c>
      <c r="H24" s="36" t="n">
        <f aca="false">CPC!H22</f>
        <v>397500</v>
      </c>
      <c r="I24" s="36" t="n">
        <f aca="false">CPC!I22</f>
        <v>457500</v>
      </c>
      <c r="J24" s="36" t="n">
        <f aca="false">CPC!J22</f>
        <v>397500</v>
      </c>
      <c r="K24" s="36" t="n">
        <f aca="false">CPC!K22</f>
        <v>397500</v>
      </c>
      <c r="L24" s="36" t="n">
        <f aca="false">CPC!L22</f>
        <v>397500</v>
      </c>
      <c r="M24" s="36" t="n">
        <f aca="false">CPC!M22</f>
        <v>397500</v>
      </c>
      <c r="N24" s="36" t="n">
        <f aca="false">CPC!N22</f>
        <v>389500</v>
      </c>
      <c r="O24" s="36" t="n">
        <f aca="false">CPC!O22</f>
        <v>469500</v>
      </c>
      <c r="P24" s="27" t="n">
        <f aca="false">SUM(D24:O24)</f>
        <v>4834000</v>
      </c>
    </row>
    <row r="25" customFormat="false" ht="15" hidden="false" customHeight="false" outlineLevel="0" collapsed="false">
      <c r="A25" s="1"/>
      <c r="B25" s="39" t="s">
        <v>328</v>
      </c>
      <c r="C25" s="1"/>
      <c r="D25" s="40" t="n">
        <f aca="false">D20+D21-D22+D23-D24</f>
        <v>547500</v>
      </c>
      <c r="E25" s="40" t="n">
        <f aca="false">E20+E21-E22+E23-E24</f>
        <v>946500</v>
      </c>
      <c r="F25" s="40" t="n">
        <f aca="false">F20+F21-F22+F23-F24</f>
        <v>1051500</v>
      </c>
      <c r="G25" s="40" t="n">
        <f aca="false">G20+G21-G22+G23-G24</f>
        <v>815500</v>
      </c>
      <c r="H25" s="40" t="n">
        <f aca="false">H20+H21-H22+H23-H24</f>
        <v>1101500</v>
      </c>
      <c r="I25" s="40" t="n">
        <f aca="false">I20+I21-I22+I23-I24</f>
        <v>758500</v>
      </c>
      <c r="J25" s="40" t="n">
        <f aca="false">J20+J21-J22+J23-J24</f>
        <v>1031500</v>
      </c>
      <c r="K25" s="40" t="n">
        <f aca="false">K20+K21-K22+K23-K24</f>
        <v>330500</v>
      </c>
      <c r="L25" s="40" t="n">
        <f aca="false">L20+L21-L22+L23-L24</f>
        <v>871500</v>
      </c>
      <c r="M25" s="40" t="n">
        <f aca="false">M20+M21-M22+M23-M24</f>
        <v>1387500</v>
      </c>
      <c r="N25" s="40" t="n">
        <f aca="false">N20+N21-N22+N23-N24</f>
        <v>1112500</v>
      </c>
      <c r="O25" s="40" t="n">
        <f aca="false">O20+O21-O22+O23-O24</f>
        <v>1137500</v>
      </c>
      <c r="P25" s="40" t="n">
        <f aca="false">SUM(D25:O25)</f>
        <v>11092000</v>
      </c>
    </row>
    <row r="26" customFormat="false" ht="15" hidden="false" customHeight="false" outlineLevel="0" collapsed="false">
      <c r="A26" s="28"/>
      <c r="B26" s="10" t="s">
        <v>329</v>
      </c>
      <c r="C26" s="35" t="s">
        <v>309</v>
      </c>
      <c r="D26" s="36" t="n">
        <f aca="false">CPC!D37</f>
        <v>-79000</v>
      </c>
      <c r="E26" s="36" t="n">
        <f aca="false">CPC!E37</f>
        <v>-23700</v>
      </c>
      <c r="F26" s="36" t="n">
        <f aca="false">CPC!F37</f>
        <v>-38400</v>
      </c>
      <c r="G26" s="36" t="n">
        <f aca="false">CPC!G37</f>
        <v>-30100</v>
      </c>
      <c r="H26" s="36" t="n">
        <f aca="false">CPC!H37</f>
        <v>-57800</v>
      </c>
      <c r="I26" s="36" t="n">
        <f aca="false">CPC!I37</f>
        <v>-87500</v>
      </c>
      <c r="J26" s="36" t="n">
        <f aca="false">CPC!J37</f>
        <v>-6200</v>
      </c>
      <c r="K26" s="36" t="n">
        <f aca="false">CPC!K37</f>
        <v>-63900</v>
      </c>
      <c r="L26" s="36" t="n">
        <f aca="false">CPC!L37</f>
        <v>-20600</v>
      </c>
      <c r="M26" s="36" t="n">
        <f aca="false">CPC!M37</f>
        <v>-93300</v>
      </c>
      <c r="N26" s="36" t="n">
        <f aca="false">CPC!N37</f>
        <v>-50000</v>
      </c>
      <c r="O26" s="36" t="n">
        <f aca="false">CPC!O37</f>
        <v>-48700</v>
      </c>
      <c r="P26" s="27" t="n">
        <f aca="false">SUM(D26:O26)</f>
        <v>-599200</v>
      </c>
    </row>
    <row r="27" customFormat="false" ht="15" hidden="false" customHeight="false" outlineLevel="0" collapsed="false">
      <c r="A27" s="1"/>
      <c r="B27" s="39" t="s">
        <v>330</v>
      </c>
      <c r="C27" s="1"/>
      <c r="D27" s="40" t="n">
        <f aca="false">D25+D26</f>
        <v>468500</v>
      </c>
      <c r="E27" s="40" t="n">
        <f aca="false">E25+E26</f>
        <v>922800</v>
      </c>
      <c r="F27" s="40" t="n">
        <f aca="false">F25+F26</f>
        <v>1013100</v>
      </c>
      <c r="G27" s="40" t="n">
        <f aca="false">G25+G26</f>
        <v>785400</v>
      </c>
      <c r="H27" s="40" t="n">
        <f aca="false">H25+H26</f>
        <v>1043700</v>
      </c>
      <c r="I27" s="40" t="n">
        <f aca="false">I25+I26</f>
        <v>671000</v>
      </c>
      <c r="J27" s="40" t="n">
        <f aca="false">J25+J26</f>
        <v>1025300</v>
      </c>
      <c r="K27" s="40" t="n">
        <f aca="false">K25+K26</f>
        <v>266600</v>
      </c>
      <c r="L27" s="40" t="n">
        <f aca="false">L25+L26</f>
        <v>850900</v>
      </c>
      <c r="M27" s="40" t="n">
        <f aca="false">M25+M26</f>
        <v>1294200</v>
      </c>
      <c r="N27" s="40" t="n">
        <f aca="false">N25+N26</f>
        <v>1062500</v>
      </c>
      <c r="O27" s="40" t="n">
        <f aca="false">O25+O26</f>
        <v>1088800</v>
      </c>
      <c r="P27" s="40" t="n">
        <f aca="false">SUM(D27:O27)</f>
        <v>10492800</v>
      </c>
    </row>
    <row r="28" customFormat="false" ht="15" hidden="false" customHeight="false" outlineLevel="0" collapsed="false">
      <c r="A28" s="28"/>
      <c r="B28" s="10" t="s">
        <v>331</v>
      </c>
      <c r="C28" s="35" t="s">
        <v>309</v>
      </c>
      <c r="D28" s="36" t="n">
        <f aca="false">CPC!D52</f>
        <v>0</v>
      </c>
      <c r="E28" s="36" t="n">
        <f aca="false">CPC!E52</f>
        <v>0</v>
      </c>
      <c r="F28" s="36" t="n">
        <f aca="false">CPC!F52</f>
        <v>-20000</v>
      </c>
      <c r="G28" s="36" t="n">
        <f aca="false">CPC!G52</f>
        <v>0</v>
      </c>
      <c r="H28" s="36" t="n">
        <f aca="false">CPC!H52</f>
        <v>0</v>
      </c>
      <c r="I28" s="36" t="n">
        <f aca="false">CPC!I52</f>
        <v>0</v>
      </c>
      <c r="J28" s="36" t="n">
        <f aca="false">CPC!J52</f>
        <v>0</v>
      </c>
      <c r="K28" s="36" t="n">
        <f aca="false">CPC!K52</f>
        <v>0</v>
      </c>
      <c r="L28" s="36" t="n">
        <f aca="false">CPC!L52</f>
        <v>0</v>
      </c>
      <c r="M28" s="36" t="n">
        <f aca="false">CPC!M52</f>
        <v>40000</v>
      </c>
      <c r="N28" s="36" t="n">
        <f aca="false">CPC!N52</f>
        <v>0</v>
      </c>
      <c r="O28" s="36" t="n">
        <f aca="false">CPC!O52</f>
        <v>0</v>
      </c>
      <c r="P28" s="27" t="n">
        <f aca="false">SUM(D28:O28)</f>
        <v>20000</v>
      </c>
    </row>
    <row r="29" customFormat="false" ht="15" hidden="false" customHeight="false" outlineLevel="0" collapsed="false">
      <c r="A29" s="28"/>
      <c r="B29" s="10" t="s">
        <v>332</v>
      </c>
      <c r="C29" s="35" t="s">
        <v>309</v>
      </c>
      <c r="D29" s="36" t="n">
        <f aca="false">CPC!D54</f>
        <v>93700</v>
      </c>
      <c r="E29" s="36" t="n">
        <f aca="false">CPC!E54</f>
        <v>184600</v>
      </c>
      <c r="F29" s="36" t="n">
        <f aca="false">CPC!F54</f>
        <v>198600</v>
      </c>
      <c r="G29" s="36" t="n">
        <f aca="false">CPC!G54</f>
        <v>157100</v>
      </c>
      <c r="H29" s="36" t="n">
        <f aca="false">CPC!H54</f>
        <v>208700</v>
      </c>
      <c r="I29" s="36" t="n">
        <f aca="false">CPC!I54</f>
        <v>134200</v>
      </c>
      <c r="J29" s="36" t="n">
        <f aca="false">CPC!J54</f>
        <v>205100</v>
      </c>
      <c r="K29" s="36" t="n">
        <f aca="false">CPC!K54</f>
        <v>53300</v>
      </c>
      <c r="L29" s="36" t="n">
        <f aca="false">CPC!L54</f>
        <v>170200</v>
      </c>
      <c r="M29" s="36" t="n">
        <f aca="false">CPC!M54</f>
        <v>266800</v>
      </c>
      <c r="N29" s="36" t="n">
        <f aca="false">CPC!N54</f>
        <v>212500</v>
      </c>
      <c r="O29" s="36" t="n">
        <f aca="false">CPC!O54</f>
        <v>217800</v>
      </c>
      <c r="P29" s="27" t="n">
        <f aca="false">SUM(D29:O29)</f>
        <v>2102600</v>
      </c>
    </row>
    <row r="30" customFormat="false" ht="15" hidden="false" customHeight="false" outlineLevel="0" collapsed="false">
      <c r="A30" s="1"/>
      <c r="B30" s="39" t="s">
        <v>333</v>
      </c>
      <c r="C30" s="1"/>
      <c r="D30" s="40" t="n">
        <f aca="false">D27+D28-D29</f>
        <v>374800</v>
      </c>
      <c r="E30" s="40" t="n">
        <f aca="false">E27+E28-E29</f>
        <v>738200</v>
      </c>
      <c r="F30" s="40" t="n">
        <f aca="false">F27+F28-F29</f>
        <v>794500</v>
      </c>
      <c r="G30" s="40" t="n">
        <f aca="false">G27+G28-G29</f>
        <v>628300</v>
      </c>
      <c r="H30" s="40" t="n">
        <f aca="false">H27+H28-H29</f>
        <v>835000</v>
      </c>
      <c r="I30" s="40" t="n">
        <f aca="false">I27+I28-I29</f>
        <v>536800</v>
      </c>
      <c r="J30" s="40" t="n">
        <f aca="false">J27+J28-J29</f>
        <v>820200</v>
      </c>
      <c r="K30" s="40" t="n">
        <f aca="false">K27+K28-K29</f>
        <v>213300</v>
      </c>
      <c r="L30" s="40" t="n">
        <f aca="false">L27+L28-L29</f>
        <v>680700</v>
      </c>
      <c r="M30" s="40" t="n">
        <f aca="false">M27+M28-M29</f>
        <v>1067400</v>
      </c>
      <c r="N30" s="40" t="n">
        <f aca="false">N27+N28-N29</f>
        <v>850000</v>
      </c>
      <c r="O30" s="40" t="n">
        <f aca="false">O27+O28-O29</f>
        <v>871000</v>
      </c>
      <c r="P30" s="40" t="n">
        <f aca="false">SUM(D30:O30)</f>
        <v>8410200</v>
      </c>
    </row>
    <row r="31" customFormat="false" ht="15" hidden="false" customHeight="false" outlineLevel="0" collapsed="false">
      <c r="A31" s="34" t="s">
        <v>334</v>
      </c>
      <c r="B31" s="23" t="s">
        <v>335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customFormat="false" ht="15" hidden="false" customHeight="false" outlineLevel="0" collapsed="false">
      <c r="A32" s="28"/>
      <c r="B32" s="10" t="s">
        <v>336</v>
      </c>
      <c r="C32" s="35" t="s">
        <v>337</v>
      </c>
      <c r="D32" s="36" t="n">
        <f aca="false">D30</f>
        <v>374800</v>
      </c>
      <c r="E32" s="36" t="n">
        <f aca="false">E30</f>
        <v>738200</v>
      </c>
      <c r="F32" s="36" t="n">
        <f aca="false">F30</f>
        <v>794500</v>
      </c>
      <c r="G32" s="36" t="n">
        <f aca="false">G30</f>
        <v>628300</v>
      </c>
      <c r="H32" s="36" t="n">
        <f aca="false">H30</f>
        <v>835000</v>
      </c>
      <c r="I32" s="36" t="n">
        <f aca="false">I30</f>
        <v>536800</v>
      </c>
      <c r="J32" s="36" t="n">
        <f aca="false">J30</f>
        <v>820200</v>
      </c>
      <c r="K32" s="36" t="n">
        <f aca="false">K30</f>
        <v>213300</v>
      </c>
      <c r="L32" s="36" t="n">
        <f aca="false">L30</f>
        <v>680700</v>
      </c>
      <c r="M32" s="36" t="n">
        <f aca="false">M30</f>
        <v>1067400</v>
      </c>
      <c r="N32" s="36" t="n">
        <f aca="false">N30</f>
        <v>850000</v>
      </c>
      <c r="O32" s="36" t="n">
        <f aca="false">O30</f>
        <v>871000</v>
      </c>
      <c r="P32" s="27" t="n">
        <f aca="false">SUM(D32:O32)</f>
        <v>8410200</v>
      </c>
    </row>
    <row r="33" customFormat="false" ht="15" hidden="false" customHeight="false" outlineLevel="0" collapsed="false">
      <c r="A33" s="28"/>
      <c r="B33" s="10" t="s">
        <v>338</v>
      </c>
      <c r="C33" s="35" t="s">
        <v>339</v>
      </c>
      <c r="D33" s="36" t="n">
        <f aca="false">IFERROR(SUMPRODUCT((LEFT(Balance!$A$6:$A$75,3)="619")*(LEFT(Balance!$A$6:$A$75,4)&lt;&gt;"6196")*(LEFT(Balance!$A$6:$A$75,4)&lt;&gt;"6197")*Balance!F$6:F$75),0)</f>
        <v>382500</v>
      </c>
      <c r="E33" s="36" t="n">
        <f aca="false">IFERROR(SUMPRODUCT((LEFT(Balance!$A$6:$A$75,3)="619")*(LEFT(Balance!$A$6:$A$75,4)&lt;&gt;"6196")*(LEFT(Balance!$A$6:$A$75,4)&lt;&gt;"6197")*Balance!G$6:G$75),0)</f>
        <v>382500</v>
      </c>
      <c r="F33" s="36" t="n">
        <f aca="false">IFERROR(SUMPRODUCT((LEFT(Balance!$A$6:$A$75,3)="619")*(LEFT(Balance!$A$6:$A$75,4)&lt;&gt;"6196")*(LEFT(Balance!$A$6:$A$75,4)&lt;&gt;"6197")*Balance!H$6:H$75),0)</f>
        <v>382500</v>
      </c>
      <c r="G33" s="36" t="n">
        <f aca="false">IFERROR(SUMPRODUCT((LEFT(Balance!$A$6:$A$75,3)="619")*(LEFT(Balance!$A$6:$A$75,4)&lt;&gt;"6196")*(LEFT(Balance!$A$6:$A$75,4)&lt;&gt;"6197")*Balance!I$6:I$75),0)</f>
        <v>382500</v>
      </c>
      <c r="H33" s="36" t="n">
        <f aca="false">IFERROR(SUMPRODUCT((LEFT(Balance!$A$6:$A$75,3)="619")*(LEFT(Balance!$A$6:$A$75,4)&lt;&gt;"6196")*(LEFT(Balance!$A$6:$A$75,4)&lt;&gt;"6197")*Balance!J$6:J$75),0)</f>
        <v>397500</v>
      </c>
      <c r="I33" s="36" t="n">
        <f aca="false">IFERROR(SUMPRODUCT((LEFT(Balance!$A$6:$A$75,3)="619")*(LEFT(Balance!$A$6:$A$75,4)&lt;&gt;"6196")*(LEFT(Balance!$A$6:$A$75,4)&lt;&gt;"6197")*Balance!K$6:K$75),0)</f>
        <v>397500</v>
      </c>
      <c r="J33" s="36" t="n">
        <f aca="false">IFERROR(SUMPRODUCT((LEFT(Balance!$A$6:$A$75,3)="619")*(LEFT(Balance!$A$6:$A$75,4)&lt;&gt;"6196")*(LEFT(Balance!$A$6:$A$75,4)&lt;&gt;"6197")*Balance!L$6:L$75),0)</f>
        <v>397500</v>
      </c>
      <c r="K33" s="36" t="n">
        <f aca="false">IFERROR(SUMPRODUCT((LEFT(Balance!$A$6:$A$75,3)="619")*(LEFT(Balance!$A$6:$A$75,4)&lt;&gt;"6196")*(LEFT(Balance!$A$6:$A$75,4)&lt;&gt;"6197")*Balance!M$6:M$75),0)</f>
        <v>397500</v>
      </c>
      <c r="L33" s="36" t="n">
        <f aca="false">IFERROR(SUMPRODUCT((LEFT(Balance!$A$6:$A$75,3)="619")*(LEFT(Balance!$A$6:$A$75,4)&lt;&gt;"6196")*(LEFT(Balance!$A$6:$A$75,4)&lt;&gt;"6197")*Balance!N$6:N$75),0)</f>
        <v>397500</v>
      </c>
      <c r="M33" s="36" t="n">
        <f aca="false">IFERROR(SUMPRODUCT((LEFT(Balance!$A$6:$A$75,3)="619")*(LEFT(Balance!$A$6:$A$75,4)&lt;&gt;"6196")*(LEFT(Balance!$A$6:$A$75,4)&lt;&gt;"6197")*Balance!O$6:O$75),0)</f>
        <v>397500</v>
      </c>
      <c r="N33" s="36" t="n">
        <f aca="false">IFERROR(SUMPRODUCT((LEFT(Balance!$A$6:$A$75,3)="619")*(LEFT(Balance!$A$6:$A$75,4)&lt;&gt;"6196")*(LEFT(Balance!$A$6:$A$75,4)&lt;&gt;"6197")*Balance!P$6:P$75),0)</f>
        <v>389500</v>
      </c>
      <c r="O33" s="36" t="n">
        <f aca="false">IFERROR(SUMPRODUCT((LEFT(Balance!$A$6:$A$75,3)="619")*(LEFT(Balance!$A$6:$A$75,4)&lt;&gt;"6196")*(LEFT(Balance!$A$6:$A$75,4)&lt;&gt;"6197")*Balance!Q$6:Q$75),0)</f>
        <v>389500</v>
      </c>
      <c r="P33" s="27" t="n">
        <f aca="false">SUM(D33:O33)</f>
        <v>4694000</v>
      </c>
    </row>
    <row r="34" customFormat="false" ht="15" hidden="false" customHeight="false" outlineLevel="0" collapsed="false">
      <c r="A34" s="28"/>
      <c r="B34" s="10" t="s">
        <v>340</v>
      </c>
      <c r="C34" s="35" t="s">
        <v>309</v>
      </c>
      <c r="D34" s="36" t="n">
        <f aca="false">CPC!D35</f>
        <v>0</v>
      </c>
      <c r="E34" s="36" t="n">
        <f aca="false">CPC!E35</f>
        <v>0</v>
      </c>
      <c r="F34" s="36" t="n">
        <f aca="false">CPC!F35</f>
        <v>0</v>
      </c>
      <c r="G34" s="36" t="n">
        <f aca="false">CPC!G35</f>
        <v>0</v>
      </c>
      <c r="H34" s="36" t="n">
        <f aca="false">CPC!H35</f>
        <v>0</v>
      </c>
      <c r="I34" s="36" t="n">
        <f aca="false">CPC!I35</f>
        <v>0</v>
      </c>
      <c r="J34" s="36" t="n">
        <f aca="false">CPC!J35</f>
        <v>0</v>
      </c>
      <c r="K34" s="36" t="n">
        <f aca="false">CPC!K35</f>
        <v>0</v>
      </c>
      <c r="L34" s="36" t="n">
        <f aca="false">CPC!L35</f>
        <v>0</v>
      </c>
      <c r="M34" s="36" t="n">
        <f aca="false">CPC!M35</f>
        <v>0</v>
      </c>
      <c r="N34" s="36" t="n">
        <f aca="false">CPC!N35</f>
        <v>0</v>
      </c>
      <c r="O34" s="36" t="n">
        <f aca="false">CPC!O35</f>
        <v>0</v>
      </c>
      <c r="P34" s="27" t="n">
        <f aca="false">SUM(D34:O34)</f>
        <v>0</v>
      </c>
    </row>
    <row r="35" customFormat="false" ht="15" hidden="false" customHeight="false" outlineLevel="0" collapsed="false">
      <c r="A35" s="28"/>
      <c r="B35" s="10" t="s">
        <v>341</v>
      </c>
      <c r="C35" s="35" t="s">
        <v>309</v>
      </c>
      <c r="D35" s="36" t="n">
        <f aca="false">CPC!D50</f>
        <v>0</v>
      </c>
      <c r="E35" s="36" t="n">
        <f aca="false">CPC!E50</f>
        <v>0</v>
      </c>
      <c r="F35" s="36" t="n">
        <f aca="false">CPC!F50</f>
        <v>0</v>
      </c>
      <c r="G35" s="36" t="n">
        <f aca="false">CPC!G50</f>
        <v>0</v>
      </c>
      <c r="H35" s="36" t="n">
        <f aca="false">CPC!H50</f>
        <v>0</v>
      </c>
      <c r="I35" s="36" t="n">
        <f aca="false">CPC!I50</f>
        <v>0</v>
      </c>
      <c r="J35" s="36" t="n">
        <f aca="false">CPC!J50</f>
        <v>0</v>
      </c>
      <c r="K35" s="36" t="n">
        <f aca="false">CPC!K50</f>
        <v>0</v>
      </c>
      <c r="L35" s="36" t="n">
        <f aca="false">CPC!L50</f>
        <v>0</v>
      </c>
      <c r="M35" s="36" t="n">
        <f aca="false">CPC!M50</f>
        <v>0</v>
      </c>
      <c r="N35" s="36" t="n">
        <f aca="false">CPC!N50</f>
        <v>0</v>
      </c>
      <c r="O35" s="36" t="n">
        <f aca="false">CPC!O50</f>
        <v>0</v>
      </c>
      <c r="P35" s="27" t="n">
        <f aca="false">SUM(D35:O35)</f>
        <v>0</v>
      </c>
    </row>
    <row r="36" customFormat="false" ht="15" hidden="false" customHeight="false" outlineLevel="0" collapsed="false">
      <c r="A36" s="28"/>
      <c r="B36" s="10" t="s">
        <v>342</v>
      </c>
      <c r="C36" s="35" t="s">
        <v>339</v>
      </c>
      <c r="D36" s="36" t="n">
        <f aca="false">IFERROR(SUMPRODUCT((LEFT(Balance!$A$6:$A$75,3)="719")*(LEFT(Balance!$A$6:$A$75,4)&lt;&gt;"7196")*(LEFT(Balance!$A$6:$A$75,4)&lt;&gt;"7197")*Balance!F$6:F$75),0)</f>
        <v>0</v>
      </c>
      <c r="E36" s="36" t="n">
        <f aca="false">IFERROR(SUMPRODUCT((LEFT(Balance!$A$6:$A$75,3)="719")*(LEFT(Balance!$A$6:$A$75,4)&lt;&gt;"7196")*(LEFT(Balance!$A$6:$A$75,4)&lt;&gt;"7197")*Balance!G$6:G$75),0)</f>
        <v>0</v>
      </c>
      <c r="F36" s="36" t="n">
        <f aca="false">IFERROR(SUMPRODUCT((LEFT(Balance!$A$6:$A$75,3)="719")*(LEFT(Balance!$A$6:$A$75,4)&lt;&gt;"7196")*(LEFT(Balance!$A$6:$A$75,4)&lt;&gt;"7197")*Balance!H$6:H$75),0)</f>
        <v>0</v>
      </c>
      <c r="G36" s="36" t="n">
        <f aca="false">IFERROR(SUMPRODUCT((LEFT(Balance!$A$6:$A$75,3)="719")*(LEFT(Balance!$A$6:$A$75,4)&lt;&gt;"7196")*(LEFT(Balance!$A$6:$A$75,4)&lt;&gt;"7197")*Balance!I$6:I$75),0)</f>
        <v>0</v>
      </c>
      <c r="H36" s="36" t="n">
        <f aca="false">IFERROR(SUMPRODUCT((LEFT(Balance!$A$6:$A$75,3)="719")*(LEFT(Balance!$A$6:$A$75,4)&lt;&gt;"7196")*(LEFT(Balance!$A$6:$A$75,4)&lt;&gt;"7197")*Balance!J$6:J$75),0)</f>
        <v>0</v>
      </c>
      <c r="I36" s="36" t="n">
        <f aca="false">IFERROR(SUMPRODUCT((LEFT(Balance!$A$6:$A$75,3)="719")*(LEFT(Balance!$A$6:$A$75,4)&lt;&gt;"7196")*(LEFT(Balance!$A$6:$A$75,4)&lt;&gt;"7197")*Balance!K$6:K$75),0)</f>
        <v>0</v>
      </c>
      <c r="J36" s="36" t="n">
        <f aca="false">IFERROR(SUMPRODUCT((LEFT(Balance!$A$6:$A$75,3)="719")*(LEFT(Balance!$A$6:$A$75,4)&lt;&gt;"7196")*(LEFT(Balance!$A$6:$A$75,4)&lt;&gt;"7197")*Balance!L$6:L$75),0)</f>
        <v>0</v>
      </c>
      <c r="K36" s="36" t="n">
        <f aca="false">IFERROR(SUMPRODUCT((LEFT(Balance!$A$6:$A$75,3)="719")*(LEFT(Balance!$A$6:$A$75,4)&lt;&gt;"7196")*(LEFT(Balance!$A$6:$A$75,4)&lt;&gt;"7197")*Balance!M$6:M$75),0)</f>
        <v>0</v>
      </c>
      <c r="L36" s="36" t="n">
        <f aca="false">IFERROR(SUMPRODUCT((LEFT(Balance!$A$6:$A$75,3)="719")*(LEFT(Balance!$A$6:$A$75,4)&lt;&gt;"7196")*(LEFT(Balance!$A$6:$A$75,4)&lt;&gt;"7197")*Balance!N$6:N$75),0)</f>
        <v>0</v>
      </c>
      <c r="M36" s="36" t="n">
        <f aca="false">IFERROR(SUMPRODUCT((LEFT(Balance!$A$6:$A$75,3)="719")*(LEFT(Balance!$A$6:$A$75,4)&lt;&gt;"7196")*(LEFT(Balance!$A$6:$A$75,4)&lt;&gt;"7197")*Balance!O$6:O$75),0)</f>
        <v>0</v>
      </c>
      <c r="N36" s="36" t="n">
        <f aca="false">IFERROR(SUMPRODUCT((LEFT(Balance!$A$6:$A$75,3)="719")*(LEFT(Balance!$A$6:$A$75,4)&lt;&gt;"7196")*(LEFT(Balance!$A$6:$A$75,4)&lt;&gt;"7197")*Balance!P$6:P$75),0)</f>
        <v>0</v>
      </c>
      <c r="O36" s="36" t="n">
        <f aca="false">IFERROR(SUMPRODUCT((LEFT(Balance!$A$6:$A$75,3)="719")*(LEFT(Balance!$A$6:$A$75,4)&lt;&gt;"7196")*(LEFT(Balance!$A$6:$A$75,4)&lt;&gt;"7197")*Balance!Q$6:Q$75),0)</f>
        <v>0</v>
      </c>
      <c r="P36" s="27" t="n">
        <f aca="false">SUM(D36:O36)</f>
        <v>0</v>
      </c>
    </row>
    <row r="37" customFormat="false" ht="15" hidden="false" customHeight="false" outlineLevel="0" collapsed="false">
      <c r="A37" s="28"/>
      <c r="B37" s="10" t="s">
        <v>343</v>
      </c>
      <c r="C37" s="35" t="s">
        <v>309</v>
      </c>
      <c r="D37" s="36" t="n">
        <f aca="false">CPC!D29</f>
        <v>0</v>
      </c>
      <c r="E37" s="36" t="n">
        <f aca="false">CPC!E29</f>
        <v>0</v>
      </c>
      <c r="F37" s="36" t="n">
        <f aca="false">CPC!F29</f>
        <v>0</v>
      </c>
      <c r="G37" s="36" t="n">
        <f aca="false">CPC!G29</f>
        <v>0</v>
      </c>
      <c r="H37" s="36" t="n">
        <f aca="false">CPC!H29</f>
        <v>0</v>
      </c>
      <c r="I37" s="36" t="n">
        <f aca="false">CPC!I29</f>
        <v>0</v>
      </c>
      <c r="J37" s="36" t="n">
        <f aca="false">CPC!J29</f>
        <v>0</v>
      </c>
      <c r="K37" s="36" t="n">
        <f aca="false">CPC!K29</f>
        <v>0</v>
      </c>
      <c r="L37" s="36" t="n">
        <f aca="false">CPC!L29</f>
        <v>0</v>
      </c>
      <c r="M37" s="36" t="n">
        <f aca="false">CPC!M29</f>
        <v>0</v>
      </c>
      <c r="N37" s="36" t="n">
        <f aca="false">CPC!N29</f>
        <v>0</v>
      </c>
      <c r="O37" s="36" t="n">
        <f aca="false">CPC!O29</f>
        <v>0</v>
      </c>
      <c r="P37" s="27" t="n">
        <f aca="false">SUM(D37:O37)</f>
        <v>0</v>
      </c>
    </row>
    <row r="38" customFormat="false" ht="15" hidden="false" customHeight="false" outlineLevel="0" collapsed="false">
      <c r="A38" s="28"/>
      <c r="B38" s="10" t="s">
        <v>344</v>
      </c>
      <c r="C38" s="35" t="s">
        <v>309</v>
      </c>
      <c r="D38" s="36" t="n">
        <f aca="false">CPC!D44</f>
        <v>0</v>
      </c>
      <c r="E38" s="36" t="n">
        <f aca="false">CPC!E44</f>
        <v>0</v>
      </c>
      <c r="F38" s="36" t="n">
        <f aca="false">CPC!F44</f>
        <v>0</v>
      </c>
      <c r="G38" s="36" t="n">
        <f aca="false">CPC!G44</f>
        <v>0</v>
      </c>
      <c r="H38" s="36" t="n">
        <f aca="false">CPC!H44</f>
        <v>0</v>
      </c>
      <c r="I38" s="36" t="n">
        <f aca="false">CPC!I44</f>
        <v>0</v>
      </c>
      <c r="J38" s="36" t="n">
        <f aca="false">CPC!J44</f>
        <v>0</v>
      </c>
      <c r="K38" s="36" t="n">
        <f aca="false">CPC!K44</f>
        <v>0</v>
      </c>
      <c r="L38" s="36" t="n">
        <f aca="false">CPC!L44</f>
        <v>0</v>
      </c>
      <c r="M38" s="36" t="n">
        <f aca="false">CPC!M44</f>
        <v>0</v>
      </c>
      <c r="N38" s="36" t="n">
        <f aca="false">CPC!N44</f>
        <v>0</v>
      </c>
      <c r="O38" s="36" t="n">
        <f aca="false">CPC!O44</f>
        <v>0</v>
      </c>
      <c r="P38" s="27" t="n">
        <f aca="false">SUM(D38:O38)</f>
        <v>0</v>
      </c>
    </row>
    <row r="39" customFormat="false" ht="15" hidden="false" customHeight="false" outlineLevel="0" collapsed="false">
      <c r="A39" s="28"/>
      <c r="B39" s="10" t="s">
        <v>345</v>
      </c>
      <c r="C39" s="35" t="s">
        <v>309</v>
      </c>
      <c r="D39" s="36" t="n">
        <f aca="false">CPC!D40</f>
        <v>0</v>
      </c>
      <c r="E39" s="36" t="n">
        <f aca="false">CPC!E40</f>
        <v>0</v>
      </c>
      <c r="F39" s="36" t="n">
        <f aca="false">CPC!F40</f>
        <v>0</v>
      </c>
      <c r="G39" s="36" t="n">
        <f aca="false">CPC!G40</f>
        <v>0</v>
      </c>
      <c r="H39" s="36" t="n">
        <f aca="false">CPC!H40</f>
        <v>0</v>
      </c>
      <c r="I39" s="36" t="n">
        <f aca="false">CPC!I40</f>
        <v>0</v>
      </c>
      <c r="J39" s="36" t="n">
        <f aca="false">CPC!J40</f>
        <v>0</v>
      </c>
      <c r="K39" s="36" t="n">
        <f aca="false">CPC!K40</f>
        <v>0</v>
      </c>
      <c r="L39" s="36" t="n">
        <f aca="false">CPC!L40</f>
        <v>0</v>
      </c>
      <c r="M39" s="36" t="n">
        <f aca="false">CPC!M40</f>
        <v>150000</v>
      </c>
      <c r="N39" s="36" t="n">
        <f aca="false">CPC!N40</f>
        <v>0</v>
      </c>
      <c r="O39" s="36" t="n">
        <f aca="false">CPC!O40</f>
        <v>0</v>
      </c>
      <c r="P39" s="27" t="n">
        <f aca="false">SUM(D39:O39)</f>
        <v>150000</v>
      </c>
    </row>
    <row r="40" customFormat="false" ht="15" hidden="false" customHeight="false" outlineLevel="0" collapsed="false">
      <c r="A40" s="28"/>
      <c r="B40" s="10" t="s">
        <v>346</v>
      </c>
      <c r="C40" s="35" t="s">
        <v>309</v>
      </c>
      <c r="D40" s="36" t="n">
        <f aca="false">CPC!D47</f>
        <v>0</v>
      </c>
      <c r="E40" s="36" t="n">
        <f aca="false">CPC!E47</f>
        <v>0</v>
      </c>
      <c r="F40" s="36" t="n">
        <f aca="false">CPC!F47</f>
        <v>0</v>
      </c>
      <c r="G40" s="36" t="n">
        <f aca="false">CPC!G47</f>
        <v>0</v>
      </c>
      <c r="H40" s="36" t="n">
        <f aca="false">CPC!H47</f>
        <v>0</v>
      </c>
      <c r="I40" s="36" t="n">
        <f aca="false">CPC!I47</f>
        <v>0</v>
      </c>
      <c r="J40" s="36" t="n">
        <f aca="false">CPC!J47</f>
        <v>0</v>
      </c>
      <c r="K40" s="36" t="n">
        <f aca="false">CPC!K47</f>
        <v>0</v>
      </c>
      <c r="L40" s="36" t="n">
        <f aca="false">CPC!L47</f>
        <v>0</v>
      </c>
      <c r="M40" s="36" t="n">
        <f aca="false">CPC!M47</f>
        <v>110000</v>
      </c>
      <c r="N40" s="36" t="n">
        <f aca="false">CPC!N47</f>
        <v>0</v>
      </c>
      <c r="O40" s="36" t="n">
        <f aca="false">CPC!O47</f>
        <v>0</v>
      </c>
      <c r="P40" s="27" t="n">
        <f aca="false">SUM(D40:O40)</f>
        <v>110000</v>
      </c>
    </row>
    <row r="41" customFormat="false" ht="15" hidden="false" customHeight="false" outlineLevel="0" collapsed="false">
      <c r="A41" s="1"/>
      <c r="B41" s="39" t="s">
        <v>347</v>
      </c>
      <c r="C41" s="1"/>
      <c r="D41" s="40" t="n">
        <f aca="false">D32+D33+D34+D35-D36-D37-D38-D39+D40</f>
        <v>757300</v>
      </c>
      <c r="E41" s="40" t="n">
        <f aca="false">E32+E33+E34+E35-E36-E37-E38-E39+E40</f>
        <v>1120700</v>
      </c>
      <c r="F41" s="40" t="n">
        <f aca="false">F32+F33+F34+F35-F36-F37-F38-F39+F40</f>
        <v>1177000</v>
      </c>
      <c r="G41" s="40" t="n">
        <f aca="false">G32+G33+G34+G35-G36-G37-G38-G39+G40</f>
        <v>1010800</v>
      </c>
      <c r="H41" s="40" t="n">
        <f aca="false">H32+H33+H34+H35-H36-H37-H38-H39+H40</f>
        <v>1232500</v>
      </c>
      <c r="I41" s="40" t="n">
        <f aca="false">I32+I33+I34+I35-I36-I37-I38-I39+I40</f>
        <v>934300</v>
      </c>
      <c r="J41" s="40" t="n">
        <f aca="false">J32+J33+J34+J35-J36-J37-J38-J39+J40</f>
        <v>1217700</v>
      </c>
      <c r="K41" s="40" t="n">
        <f aca="false">K32+K33+K34+K35-K36-K37-K38-K39+K40</f>
        <v>610800</v>
      </c>
      <c r="L41" s="40" t="n">
        <f aca="false">L32+L33+L34+L35-L36-L37-L38-L39+L40</f>
        <v>1078200</v>
      </c>
      <c r="M41" s="40" t="n">
        <f aca="false">M32+M33+M34+M35-M36-M37-M38-M39+M40</f>
        <v>1424900</v>
      </c>
      <c r="N41" s="40" t="n">
        <f aca="false">N32+N33+N34+N35-N36-N37-N38-N39+N40</f>
        <v>1239500</v>
      </c>
      <c r="O41" s="40" t="n">
        <f aca="false">O32+O33+O34+O35-O36-O37-O38-O39+O40</f>
        <v>1260500</v>
      </c>
      <c r="P41" s="40" t="n">
        <f aca="false">SUM(D41:O41)</f>
        <v>13064200</v>
      </c>
    </row>
    <row r="43" customFormat="false" ht="15" hidden="false" customHeight="false" outlineLevel="0" collapsed="false">
      <c r="B43" s="41" t="s">
        <v>348</v>
      </c>
      <c r="D43" s="42" t="n">
        <f aca="false">D30-CPC!D55</f>
        <v>0</v>
      </c>
      <c r="E43" s="42" t="n">
        <f aca="false">E30-CPC!E55</f>
        <v>0</v>
      </c>
      <c r="F43" s="42" t="n">
        <f aca="false">F30-CPC!F55</f>
        <v>0</v>
      </c>
      <c r="G43" s="42" t="n">
        <f aca="false">G30-CPC!G55</f>
        <v>0</v>
      </c>
      <c r="H43" s="42" t="n">
        <f aca="false">H30-CPC!H55</f>
        <v>0</v>
      </c>
      <c r="I43" s="42" t="n">
        <f aca="false">I30-CPC!I55</f>
        <v>0</v>
      </c>
      <c r="J43" s="42" t="n">
        <f aca="false">J30-CPC!J55</f>
        <v>0</v>
      </c>
      <c r="K43" s="42" t="n">
        <f aca="false">K30-CPC!K55</f>
        <v>0</v>
      </c>
      <c r="L43" s="42" t="n">
        <f aca="false">L30-CPC!L55</f>
        <v>0</v>
      </c>
      <c r="M43" s="42" t="n">
        <f aca="false">M30-CPC!M55</f>
        <v>0</v>
      </c>
      <c r="N43" s="42" t="n">
        <f aca="false">N30-CPC!N55</f>
        <v>0</v>
      </c>
      <c r="O43" s="42" t="n">
        <f aca="false">O30-CPC!O55</f>
        <v>0</v>
      </c>
      <c r="P43" s="42" t="n">
        <f aca="false">P30-CPC!P55</f>
        <v>0</v>
      </c>
    </row>
  </sheetData>
  <hyperlinks>
    <hyperlink ref="P1" location="Accueil!A1" display="⌂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1E2C"/>
    <pageSetUpPr fitToPage="true"/>
  </sheetPr>
  <dimension ref="A1:Q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15" min="4" style="0" width="15.51"/>
    <col collapsed="false" customWidth="true" hidden="false" outlineLevel="0" max="16" min="16" style="0" width="15"/>
    <col collapsed="false" customWidth="true" hidden="false" outlineLevel="0" max="17" min="17" style="0" width="19"/>
  </cols>
  <sheetData>
    <row r="1" customFormat="false" ht="30" hidden="false" customHeight="true" outlineLevel="0" collapsed="false">
      <c r="A1" s="16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 t="s">
        <v>46</v>
      </c>
    </row>
    <row r="2" customFormat="false" ht="15" hidden="false" customHeight="false" outlineLevel="0" collapsed="false">
      <c r="A2" s="18" t="s">
        <v>350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15" hidden="false" customHeight="false" outlineLevel="0" collapsed="false">
      <c r="A4" s="43" t="s">
        <v>351</v>
      </c>
      <c r="C4" s="44" t="s">
        <v>42</v>
      </c>
      <c r="D4" s="41" t="s">
        <v>352</v>
      </c>
    </row>
    <row r="5" customFormat="false" ht="15" hidden="false" customHeight="false" outlineLevel="0" collapsed="false">
      <c r="A5" s="45" t="s">
        <v>353</v>
      </c>
      <c r="C5" s="46" t="n">
        <v>0.02</v>
      </c>
    </row>
    <row r="6" customFormat="false" ht="15" hidden="false" customHeight="false" outlineLevel="0" collapsed="false">
      <c r="A6" s="45" t="s">
        <v>354</v>
      </c>
      <c r="C6" s="47" t="n">
        <v>0.8</v>
      </c>
    </row>
    <row r="7" customFormat="false" ht="15" hidden="false" customHeight="false" outlineLevel="0" collapsed="false">
      <c r="A7" s="45" t="s">
        <v>355</v>
      </c>
      <c r="C7" s="47" t="n">
        <v>1.2</v>
      </c>
    </row>
    <row r="9" customFormat="false" ht="30" hidden="false" customHeight="true" outlineLevel="0" collapsed="false">
      <c r="A9" s="21" t="s">
        <v>356</v>
      </c>
      <c r="B9" s="21" t="s">
        <v>357</v>
      </c>
      <c r="C9" s="21" t="s">
        <v>358</v>
      </c>
      <c r="D9" s="21" t="s">
        <v>55</v>
      </c>
      <c r="E9" s="21" t="s">
        <v>56</v>
      </c>
      <c r="F9" s="21" t="s">
        <v>57</v>
      </c>
      <c r="G9" s="21" t="s">
        <v>58</v>
      </c>
      <c r="H9" s="21" t="s">
        <v>59</v>
      </c>
      <c r="I9" s="21" t="s">
        <v>60</v>
      </c>
      <c r="J9" s="21" t="s">
        <v>61</v>
      </c>
      <c r="K9" s="21" t="s">
        <v>62</v>
      </c>
      <c r="L9" s="21" t="s">
        <v>63</v>
      </c>
      <c r="M9" s="21" t="s">
        <v>64</v>
      </c>
      <c r="N9" s="21" t="s">
        <v>65</v>
      </c>
      <c r="O9" s="21" t="s">
        <v>42</v>
      </c>
      <c r="P9" s="21" t="s">
        <v>359</v>
      </c>
      <c r="Q9" s="48" t="s">
        <v>360</v>
      </c>
    </row>
    <row r="10" customFormat="false" ht="15" hidden="false" customHeight="false" outlineLevel="0" collapsed="false">
      <c r="A10" s="23" t="s">
        <v>361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10" t="s">
        <v>217</v>
      </c>
      <c r="B11" s="35" t="s">
        <v>362</v>
      </c>
      <c r="C11" s="49"/>
      <c r="D11" s="36" t="n">
        <f aca="false">CPC!D8</f>
        <v>6460000</v>
      </c>
      <c r="E11" s="36" t="n">
        <f aca="false">CPC!E8</f>
        <v>6862000</v>
      </c>
      <c r="F11" s="36" t="n">
        <f aca="false">CPC!F8</f>
        <v>7530000</v>
      </c>
      <c r="G11" s="36" t="n">
        <f aca="false">CPC!G8</f>
        <v>7139000</v>
      </c>
      <c r="H11" s="36" t="n">
        <f aca="false">CPC!H8</f>
        <v>7506000</v>
      </c>
      <c r="I11" s="36" t="n">
        <f aca="false">CPC!I8</f>
        <v>7804000</v>
      </c>
      <c r="J11" s="36" t="n">
        <f aca="false">CPC!J8</f>
        <v>7378000</v>
      </c>
      <c r="K11" s="36" t="n">
        <f aca="false">CPC!K8</f>
        <v>5968000</v>
      </c>
      <c r="L11" s="36" t="n">
        <f aca="false">CPC!L8</f>
        <v>7347000</v>
      </c>
      <c r="M11" s="36" t="n">
        <f aca="false">CPC!M8</f>
        <v>7894000</v>
      </c>
      <c r="N11" s="36" t="n">
        <f aca="false">CPC!N8</f>
        <v>7867000</v>
      </c>
      <c r="O11" s="36" t="n">
        <f aca="false">CPC!O8</f>
        <v>8220000</v>
      </c>
      <c r="P11" s="50" t="n">
        <f aca="false">CPC!P8</f>
        <v>87975000</v>
      </c>
      <c r="Q11" s="51" t="n">
        <f aca="false">IFERROR(INDEX($D11:$O11,MATCH($C$4,$D$9:$O$9,0)),"–")</f>
        <v>8220000</v>
      </c>
    </row>
    <row r="12" customFormat="false" ht="15" hidden="false" customHeight="false" outlineLevel="0" collapsed="false">
      <c r="A12" s="10" t="s">
        <v>363</v>
      </c>
      <c r="B12" s="35" t="s">
        <v>364</v>
      </c>
      <c r="C12" s="49"/>
      <c r="D12" s="52" t="s">
        <v>365</v>
      </c>
      <c r="E12" s="52" t="n">
        <f aca="false">IFERROR(E11/D11-1,"–")</f>
        <v>0.0622291021671826</v>
      </c>
      <c r="F12" s="52" t="n">
        <f aca="false">IFERROR(F11/E11-1,"–")</f>
        <v>0.097347712037307</v>
      </c>
      <c r="G12" s="52" t="n">
        <f aca="false">IFERROR(G11/F11-1,"–")</f>
        <v>-0.0519256308100929</v>
      </c>
      <c r="H12" s="52" t="n">
        <f aca="false">IFERROR(H11/G11-1,"–")</f>
        <v>0.051407760190503</v>
      </c>
      <c r="I12" s="52" t="n">
        <f aca="false">IFERROR(I11/H11-1,"–")</f>
        <v>0.0397015720756728</v>
      </c>
      <c r="J12" s="52" t="n">
        <f aca="false">IFERROR(J11/I11-1,"–")</f>
        <v>-0.0545873910814967</v>
      </c>
      <c r="K12" s="52" t="n">
        <f aca="false">IFERROR(K11/J11-1,"–")</f>
        <v>-0.191108701545134</v>
      </c>
      <c r="L12" s="52" t="n">
        <f aca="false">IFERROR(L11/K11-1,"–")</f>
        <v>0.231065683646113</v>
      </c>
      <c r="M12" s="52" t="n">
        <f aca="false">IFERROR(M11/L11-1,"–")</f>
        <v>0.0744521573431332</v>
      </c>
      <c r="N12" s="52" t="n">
        <f aca="false">IFERROR(N11/M11-1,"–")</f>
        <v>-0.0034203192297948</v>
      </c>
      <c r="O12" s="52" t="n">
        <f aca="false">IFERROR(O11/N11-1,"–")</f>
        <v>0.0448709800432185</v>
      </c>
      <c r="P12" s="53" t="s">
        <v>365</v>
      </c>
      <c r="Q12" s="54" t="n">
        <f aca="false">IFERROR(INDEX($D12:$O12,MATCH($C$4,$D$9:$O$9,0)),"–")</f>
        <v>0.0448709800432185</v>
      </c>
    </row>
    <row r="13" customFormat="false" ht="15" hidden="false" customHeight="false" outlineLevel="0" collapsed="false">
      <c r="A13" s="10" t="s">
        <v>366</v>
      </c>
      <c r="B13" s="35" t="s">
        <v>362</v>
      </c>
      <c r="C13" s="49"/>
      <c r="D13" s="36" t="n">
        <f aca="false">CPC!D24</f>
        <v>547500</v>
      </c>
      <c r="E13" s="36" t="n">
        <f aca="false">CPC!E24</f>
        <v>946500</v>
      </c>
      <c r="F13" s="36" t="n">
        <f aca="false">CPC!F24</f>
        <v>1051500</v>
      </c>
      <c r="G13" s="36" t="n">
        <f aca="false">CPC!G24</f>
        <v>815500</v>
      </c>
      <c r="H13" s="36" t="n">
        <f aca="false">CPC!H24</f>
        <v>1101500</v>
      </c>
      <c r="I13" s="36" t="n">
        <f aca="false">CPC!I24</f>
        <v>758500</v>
      </c>
      <c r="J13" s="36" t="n">
        <f aca="false">CPC!J24</f>
        <v>1031500</v>
      </c>
      <c r="K13" s="36" t="n">
        <f aca="false">CPC!K24</f>
        <v>330500</v>
      </c>
      <c r="L13" s="36" t="n">
        <f aca="false">CPC!L24</f>
        <v>871500</v>
      </c>
      <c r="M13" s="36" t="n">
        <f aca="false">CPC!M24</f>
        <v>1387500</v>
      </c>
      <c r="N13" s="36" t="n">
        <f aca="false">CPC!N24</f>
        <v>1112500</v>
      </c>
      <c r="O13" s="36" t="n">
        <f aca="false">CPC!O24</f>
        <v>1137500</v>
      </c>
      <c r="P13" s="50" t="n">
        <f aca="false">CPC!P24</f>
        <v>11092000</v>
      </c>
      <c r="Q13" s="51" t="n">
        <f aca="false">IFERROR(INDEX($D13:$O13,MATCH($C$4,$D$9:$O$9,0)),"–")</f>
        <v>1137500</v>
      </c>
    </row>
    <row r="14" customFormat="false" ht="15" hidden="false" customHeight="false" outlineLevel="0" collapsed="false">
      <c r="A14" s="10" t="s">
        <v>367</v>
      </c>
      <c r="B14" s="35" t="s">
        <v>364</v>
      </c>
      <c r="C14" s="49"/>
      <c r="D14" s="52" t="s">
        <v>365</v>
      </c>
      <c r="E14" s="52" t="n">
        <f aca="false">IFERROR(E13/D13-1,"–")</f>
        <v>0.728767123287671</v>
      </c>
      <c r="F14" s="52" t="n">
        <f aca="false">IFERROR(F13/E13-1,"–")</f>
        <v>0.110935023771791</v>
      </c>
      <c r="G14" s="52" t="n">
        <f aca="false">IFERROR(G13/F13-1,"–")</f>
        <v>-0.224441274369948</v>
      </c>
      <c r="H14" s="52" t="n">
        <f aca="false">IFERROR(H13/G13-1,"–")</f>
        <v>0.350705088902514</v>
      </c>
      <c r="I14" s="52" t="n">
        <f aca="false">IFERROR(I13/H13-1,"–")</f>
        <v>-0.311393554244212</v>
      </c>
      <c r="J14" s="52" t="n">
        <f aca="false">IFERROR(J13/I13-1,"–")</f>
        <v>0.359920896506262</v>
      </c>
      <c r="K14" s="52" t="n">
        <f aca="false">IFERROR(K13/J13-1,"–")</f>
        <v>-0.67959282598158</v>
      </c>
      <c r="L14" s="52" t="n">
        <f aca="false">IFERROR(L13/K13-1,"–")</f>
        <v>1.63691376701967</v>
      </c>
      <c r="M14" s="52" t="n">
        <f aca="false">IFERROR(M13/L13-1,"–")</f>
        <v>0.592082616179002</v>
      </c>
      <c r="N14" s="52" t="n">
        <f aca="false">IFERROR(N13/M13-1,"–")</f>
        <v>-0.198198198198198</v>
      </c>
      <c r="O14" s="52" t="n">
        <f aca="false">IFERROR(O13/N13-1,"–")</f>
        <v>0.0224719101123596</v>
      </c>
      <c r="P14" s="53" t="s">
        <v>365</v>
      </c>
      <c r="Q14" s="54" t="n">
        <f aca="false">IFERROR(INDEX($D14:$O14,MATCH($C$4,$D$9:$O$9,0)),"–")</f>
        <v>0.0224719101123596</v>
      </c>
    </row>
    <row r="15" customFormat="false" ht="15" hidden="false" customHeight="false" outlineLevel="0" collapsed="false">
      <c r="A15" s="8" t="s">
        <v>368</v>
      </c>
      <c r="B15" s="35" t="s">
        <v>364</v>
      </c>
      <c r="C15" s="49" t="s">
        <v>369</v>
      </c>
      <c r="D15" s="55" t="n">
        <f aca="false">IFERROR(D13/D11,0)</f>
        <v>0.0847523219814241</v>
      </c>
      <c r="E15" s="55" t="n">
        <f aca="false">IFERROR(E13/E11,0)</f>
        <v>0.137933547070825</v>
      </c>
      <c r="F15" s="55" t="n">
        <f aca="false">IFERROR(F13/F11,0)</f>
        <v>0.139641434262948</v>
      </c>
      <c r="G15" s="55" t="n">
        <f aca="false">IFERROR(G13/G11,0)</f>
        <v>0.114231685109959</v>
      </c>
      <c r="H15" s="55" t="n">
        <f aca="false">IFERROR(H13/H11,0)</f>
        <v>0.146749267252864</v>
      </c>
      <c r="I15" s="55" t="n">
        <f aca="false">IFERROR(I13/I11,0)</f>
        <v>0.0971937467965146</v>
      </c>
      <c r="J15" s="55" t="n">
        <f aca="false">IFERROR(J13/J11,0)</f>
        <v>0.139807535917593</v>
      </c>
      <c r="K15" s="55" t="n">
        <f aca="false">IFERROR(K13/K11,0)</f>
        <v>0.0553786863270778</v>
      </c>
      <c r="L15" s="55" t="n">
        <f aca="false">IFERROR(L13/L11,0)</f>
        <v>0.118619844834626</v>
      </c>
      <c r="M15" s="55" t="n">
        <f aca="false">IFERROR(M13/M11,0)</f>
        <v>0.175766404864454</v>
      </c>
      <c r="N15" s="55" t="n">
        <f aca="false">IFERROR(N13/N11,0)</f>
        <v>0.14141349942799</v>
      </c>
      <c r="O15" s="55" t="n">
        <f aca="false">IFERROR(O13/O11,0)</f>
        <v>0.13838199513382</v>
      </c>
      <c r="P15" s="56" t="n">
        <f aca="false">IFERROR(P13/P11,0)</f>
        <v>0.126081273088946</v>
      </c>
      <c r="Q15" s="57" t="n">
        <f aca="false">IFERROR(INDEX($D15:$O15,MATCH($C$4,$D$9:$O$9,0)),"–")</f>
        <v>0.13838199513382</v>
      </c>
    </row>
    <row r="16" customFormat="false" ht="15" hidden="false" customHeight="false" outlineLevel="0" collapsed="false">
      <c r="A16" s="8" t="s">
        <v>370</v>
      </c>
      <c r="B16" s="35" t="s">
        <v>371</v>
      </c>
      <c r="C16" s="49" t="s">
        <v>372</v>
      </c>
      <c r="D16" s="58" t="s">
        <v>365</v>
      </c>
      <c r="E16" s="58" t="n">
        <f aca="false">IF(OR(E12="–",E14="–"),"–",IF(OR(ABS(E12)&lt;$C$5,D13&lt;=0),"n.s.",ROUND(E14/E12,1)))</f>
        <v>11.7</v>
      </c>
      <c r="F16" s="58" t="n">
        <f aca="false">IF(OR(F12="–",F14="–"),"–",IF(OR(ABS(F12)&lt;$C$5,E13&lt;=0),"n.s.",ROUND(F14/F12,1)))</f>
        <v>1.1</v>
      </c>
      <c r="G16" s="58" t="n">
        <f aca="false">IF(OR(G12="–",G14="–"),"–",IF(OR(ABS(G12)&lt;$C$5,F13&lt;=0),"n.s.",ROUND(G14/G12,1)))</f>
        <v>4.3</v>
      </c>
      <c r="H16" s="58" t="n">
        <f aca="false">IF(OR(H12="–",H14="–"),"–",IF(OR(ABS(H12)&lt;$C$5,G13&lt;=0),"n.s.",ROUND(H14/H12,1)))</f>
        <v>6.8</v>
      </c>
      <c r="I16" s="58" t="n">
        <f aca="false">IF(OR(I12="–",I14="–"),"–",IF(OR(ABS(I12)&lt;$C$5,H13&lt;=0),"n.s.",ROUND(I14/I12,1)))</f>
        <v>-7.8</v>
      </c>
      <c r="J16" s="58" t="n">
        <f aca="false">IF(OR(J12="–",J14="–"),"–",IF(OR(ABS(J12)&lt;$C$5,I13&lt;=0),"n.s.",ROUND(J14/J12,1)))</f>
        <v>-6.6</v>
      </c>
      <c r="K16" s="58" t="n">
        <f aca="false">IF(OR(K12="–",K14="–"),"–",IF(OR(ABS(K12)&lt;$C$5,J13&lt;=0),"n.s.",ROUND(K14/K12,1)))</f>
        <v>3.6</v>
      </c>
      <c r="L16" s="58" t="n">
        <f aca="false">IF(OR(L12="–",L14="–"),"–",IF(OR(ABS(L12)&lt;$C$5,K13&lt;=0),"n.s.",ROUND(L14/L12,1)))</f>
        <v>7.1</v>
      </c>
      <c r="M16" s="58" t="n">
        <f aca="false">IF(OR(M12="–",M14="–"),"–",IF(OR(ABS(M12)&lt;$C$5,L13&lt;=0),"n.s.",ROUND(M14/M12,1)))</f>
        <v>8</v>
      </c>
      <c r="N16" s="58" t="str">
        <f aca="false">IF(OR(N12="–",N14="–"),"–",IF(OR(ABS(N12)&lt;$C$5,M13&lt;=0),"n.s.",ROUND(N14/N12,1)))</f>
        <v>n.s.</v>
      </c>
      <c r="O16" s="58" t="n">
        <f aca="false">IF(OR(O12="–",O14="–"),"–",IF(OR(ABS(O12)&lt;$C$5,N13&lt;=0),"n.s.",ROUND(O14/O12,1)))</f>
        <v>0.5</v>
      </c>
      <c r="P16" s="59" t="s">
        <v>365</v>
      </c>
      <c r="Q16" s="60" t="n">
        <f aca="false">IFERROR(INDEX($D16:$O16,MATCH($C$4,$D$9:$O$9,0)),"–")</f>
        <v>0.5</v>
      </c>
    </row>
    <row r="17" customFormat="false" ht="15" hidden="false" customHeight="false" outlineLevel="0" collapsed="false">
      <c r="A17" s="8" t="s">
        <v>373</v>
      </c>
      <c r="B17" s="35"/>
      <c r="C17" s="49" t="s">
        <v>374</v>
      </c>
      <c r="D17" s="61" t="s">
        <v>365</v>
      </c>
      <c r="E17" s="61" t="str">
        <f aca="false">IF(E16="–","–",IF(E16="n.s.","n.s.",IF(E12&gt;0,IF(E16&gt;$C$7,"▲ Levier fort",IF(E16&gt;=$C$6,"▲ Proportionnel",IF(E16&gt;0,"▲ Marge érodée","▲ Sens contraire"))),IF(E16&gt;$C$7,"▼ REX chute plus vite",IF(E16&gt;=$C$6,"▼ Proportionnel",IF(E16&gt;0,"▼ REX résiste","▼ REX progresse"))))))</f>
        <v>▲ Levier fort</v>
      </c>
      <c r="F17" s="61" t="str">
        <f aca="false">IF(F16="–","–",IF(F16="n.s.","n.s.",IF(F12&gt;0,IF(F16&gt;$C$7,"▲ Levier fort",IF(F16&gt;=$C$6,"▲ Proportionnel",IF(F16&gt;0,"▲ Marge érodée","▲ Sens contraire"))),IF(F16&gt;$C$7,"▼ REX chute plus vite",IF(F16&gt;=$C$6,"▼ Proportionnel",IF(F16&gt;0,"▼ REX résiste","▼ REX progresse"))))))</f>
        <v>▲ Proportionnel</v>
      </c>
      <c r="G17" s="61" t="str">
        <f aca="false">IF(G16="–","–",IF(G16="n.s.","n.s.",IF(G12&gt;0,IF(G16&gt;$C$7,"▲ Levier fort",IF(G16&gt;=$C$6,"▲ Proportionnel",IF(G16&gt;0,"▲ Marge érodée","▲ Sens contraire"))),IF(G16&gt;$C$7,"▼ REX chute plus vite",IF(G16&gt;=$C$6,"▼ Proportionnel",IF(G16&gt;0,"▼ REX résiste","▼ REX progresse"))))))</f>
        <v>▼ REX chute plus vite</v>
      </c>
      <c r="H17" s="61" t="str">
        <f aca="false">IF(H16="–","–",IF(H16="n.s.","n.s.",IF(H12&gt;0,IF(H16&gt;$C$7,"▲ Levier fort",IF(H16&gt;=$C$6,"▲ Proportionnel",IF(H16&gt;0,"▲ Marge érodée","▲ Sens contraire"))),IF(H16&gt;$C$7,"▼ REX chute plus vite",IF(H16&gt;=$C$6,"▼ Proportionnel",IF(H16&gt;0,"▼ REX résiste","▼ REX progresse"))))))</f>
        <v>▲ Levier fort</v>
      </c>
      <c r="I17" s="61" t="str">
        <f aca="false">IF(I16="–","–",IF(I16="n.s.","n.s.",IF(I12&gt;0,IF(I16&gt;$C$7,"▲ Levier fort",IF(I16&gt;=$C$6,"▲ Proportionnel",IF(I16&gt;0,"▲ Marge érodée","▲ Sens contraire"))),IF(I16&gt;$C$7,"▼ REX chute plus vite",IF(I16&gt;=$C$6,"▼ Proportionnel",IF(I16&gt;0,"▼ REX résiste","▼ REX progresse"))))))</f>
        <v>▲ Sens contraire</v>
      </c>
      <c r="J17" s="61" t="str">
        <f aca="false">IF(J16="–","–",IF(J16="n.s.","n.s.",IF(J12&gt;0,IF(J16&gt;$C$7,"▲ Levier fort",IF(J16&gt;=$C$6,"▲ Proportionnel",IF(J16&gt;0,"▲ Marge érodée","▲ Sens contraire"))),IF(J16&gt;$C$7,"▼ REX chute plus vite",IF(J16&gt;=$C$6,"▼ Proportionnel",IF(J16&gt;0,"▼ REX résiste","▼ REX progresse"))))))</f>
        <v>▼ REX progresse</v>
      </c>
      <c r="K17" s="61" t="str">
        <f aca="false">IF(K16="–","–",IF(K16="n.s.","n.s.",IF(K12&gt;0,IF(K16&gt;$C$7,"▲ Levier fort",IF(K16&gt;=$C$6,"▲ Proportionnel",IF(K16&gt;0,"▲ Marge érodée","▲ Sens contraire"))),IF(K16&gt;$C$7,"▼ REX chute plus vite",IF(K16&gt;=$C$6,"▼ Proportionnel",IF(K16&gt;0,"▼ REX résiste","▼ REX progresse"))))))</f>
        <v>▼ REX chute plus vite</v>
      </c>
      <c r="L17" s="61" t="str">
        <f aca="false">IF(L16="–","–",IF(L16="n.s.","n.s.",IF(L12&gt;0,IF(L16&gt;$C$7,"▲ Levier fort",IF(L16&gt;=$C$6,"▲ Proportionnel",IF(L16&gt;0,"▲ Marge érodée","▲ Sens contraire"))),IF(L16&gt;$C$7,"▼ REX chute plus vite",IF(L16&gt;=$C$6,"▼ Proportionnel",IF(L16&gt;0,"▼ REX résiste","▼ REX progresse"))))))</f>
        <v>▲ Levier fort</v>
      </c>
      <c r="M17" s="61" t="str">
        <f aca="false">IF(M16="–","–",IF(M16="n.s.","n.s.",IF(M12&gt;0,IF(M16&gt;$C$7,"▲ Levier fort",IF(M16&gt;=$C$6,"▲ Proportionnel",IF(M16&gt;0,"▲ Marge érodée","▲ Sens contraire"))),IF(M16&gt;$C$7,"▼ REX chute plus vite",IF(M16&gt;=$C$6,"▼ Proportionnel",IF(M16&gt;0,"▼ REX résiste","▼ REX progresse"))))))</f>
        <v>▲ Levier fort</v>
      </c>
      <c r="N17" s="61" t="str">
        <f aca="false">IF(N16="–","–",IF(N16="n.s.","n.s.",IF(N12&gt;0,IF(N16&gt;$C$7,"▲ Levier fort",IF(N16&gt;=$C$6,"▲ Proportionnel",IF(N16&gt;0,"▲ Marge érodée","▲ Sens contraire"))),IF(N16&gt;$C$7,"▼ REX chute plus vite",IF(N16&gt;=$C$6,"▼ Proportionnel",IF(N16&gt;0,"▼ REX résiste","▼ REX progresse"))))))</f>
        <v>n.s.</v>
      </c>
      <c r="O17" s="61" t="str">
        <f aca="false">IF(O16="–","–",IF(O16="n.s.","n.s.",IF(O12&gt;0,IF(O16&gt;$C$7,"▲ Levier fort",IF(O16&gt;=$C$6,"▲ Proportionnel",IF(O16&gt;0,"▲ Marge érodée","▲ Sens contraire"))),IF(O16&gt;$C$7,"▼ REX chute plus vite",IF(O16&gt;=$C$6,"▼ Proportionnel",IF(O16&gt;0,"▼ REX résiste","▼ REX progresse"))))))</f>
        <v>▲ Marge érodée</v>
      </c>
      <c r="P17" s="62" t="s">
        <v>365</v>
      </c>
      <c r="Q17" s="63" t="str">
        <f aca="false">IFERROR(INDEX($D17:$O17,MATCH($C$4,$D$9:$O$9,0)),"–")</f>
        <v>▲ Marge érodée</v>
      </c>
    </row>
    <row r="18" customFormat="false" ht="15" hidden="false" customHeight="false" outlineLevel="0" collapsed="false">
      <c r="A18" s="23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10" t="s">
        <v>376</v>
      </c>
      <c r="B19" s="35" t="s">
        <v>364</v>
      </c>
      <c r="C19" s="49" t="s">
        <v>377</v>
      </c>
      <c r="D19" s="55" t="n">
        <f aca="false">IFERROR(CPC!D20/D11,0)</f>
        <v>0.289318885448916</v>
      </c>
      <c r="E19" s="55" t="n">
        <f aca="false">IFERROR(CPC!E20/E11,0)</f>
        <v>0.273389682308365</v>
      </c>
      <c r="F19" s="55" t="n">
        <f aca="false">IFERROR(CPC!F20/F11,0)</f>
        <v>0.250199203187251</v>
      </c>
      <c r="G19" s="55" t="n">
        <f aca="false">IFERROR(CPC!G20/G11,0)</f>
        <v>0.264883036839894</v>
      </c>
      <c r="H19" s="55" t="n">
        <f aca="false">IFERROR(CPC!H20/H11,0)</f>
        <v>0.252864375166533</v>
      </c>
      <c r="I19" s="55" t="n">
        <f aca="false">IFERROR(CPC!I20/I11,0)</f>
        <v>0.244233726294208</v>
      </c>
      <c r="J19" s="55" t="n">
        <f aca="false">IFERROR(CPC!J20/J11,0)</f>
        <v>0.259284358904852</v>
      </c>
      <c r="K19" s="55" t="n">
        <f aca="false">IFERROR(CPC!K20/K11,0)</f>
        <v>0.321883378016086</v>
      </c>
      <c r="L19" s="55" t="n">
        <f aca="false">IFERROR(CPC!L20/L11,0)</f>
        <v>0.262420035388594</v>
      </c>
      <c r="M19" s="55" t="n">
        <f aca="false">IFERROR(CPC!M20/M11,0)</f>
        <v>0.245249556625285</v>
      </c>
      <c r="N19" s="55" t="n">
        <f aca="false">IFERROR(CPC!N20/N11,0)</f>
        <v>0.246981060124571</v>
      </c>
      <c r="O19" s="55" t="n">
        <f aca="false">IFERROR(CPC!O20/O11,0)</f>
        <v>0.254866180048662</v>
      </c>
      <c r="P19" s="56" t="n">
        <f aca="false">IFERROR(CPC!P20/P11,0)</f>
        <v>0.262119920431941</v>
      </c>
      <c r="Q19" s="57" t="n">
        <f aca="false">IFERROR(INDEX($D19:$O19,MATCH($C$4,$D$9:$O$9,0)),"–")</f>
        <v>0.254866180048662</v>
      </c>
    </row>
    <row r="20" customFormat="false" ht="15" hidden="false" customHeight="false" outlineLevel="0" collapsed="false">
      <c r="A20" s="10" t="s">
        <v>378</v>
      </c>
      <c r="B20" s="35" t="s">
        <v>364</v>
      </c>
      <c r="C20" s="49" t="s">
        <v>379</v>
      </c>
      <c r="D20" s="55" t="n">
        <f aca="false">IFERROR(ESG!D41/D11,0)</f>
        <v>0.117229102167183</v>
      </c>
      <c r="E20" s="55" t="n">
        <f aca="false">IFERROR(ESG!E41/E11,0)</f>
        <v>0.163319731856602</v>
      </c>
      <c r="F20" s="55" t="n">
        <f aca="false">IFERROR(ESG!F41/F11,0)</f>
        <v>0.156308100929615</v>
      </c>
      <c r="G20" s="55" t="n">
        <f aca="false">IFERROR(ESG!G41/G11,0)</f>
        <v>0.141588457767194</v>
      </c>
      <c r="H20" s="55" t="n">
        <f aca="false">IFERROR(ESG!H41/H11,0)</f>
        <v>0.164201971755929</v>
      </c>
      <c r="I20" s="55" t="n">
        <f aca="false">IFERROR(ESG!I41/I11,0)</f>
        <v>0.119720656073808</v>
      </c>
      <c r="J20" s="55" t="n">
        <f aca="false">IFERROR(ESG!J41/J11,0)</f>
        <v>0.165044727568447</v>
      </c>
      <c r="K20" s="55" t="n">
        <f aca="false">IFERROR(ESG!K41/K11,0)</f>
        <v>0.102345844504021</v>
      </c>
      <c r="L20" s="55" t="n">
        <f aca="false">IFERROR(ESG!L41/L11,0)</f>
        <v>0.146753777051858</v>
      </c>
      <c r="M20" s="55" t="n">
        <f aca="false">IFERROR(ESG!M41/M11,0)</f>
        <v>0.18050418039017</v>
      </c>
      <c r="N20" s="55" t="n">
        <f aca="false">IFERROR(ESG!N41/N11,0)</f>
        <v>0.157556883182916</v>
      </c>
      <c r="O20" s="55" t="n">
        <f aca="false">IFERROR(ESG!O41/O11,0)</f>
        <v>0.153345498783455</v>
      </c>
      <c r="P20" s="56" t="n">
        <f aca="false">IFERROR(ESG!P41/P11,0)</f>
        <v>0.148499005399261</v>
      </c>
      <c r="Q20" s="57" t="n">
        <f aca="false">IFERROR(INDEX($D20:$O20,MATCH($C$4,$D$9:$O$9,0)),"–")</f>
        <v>0.153345498783455</v>
      </c>
    </row>
    <row r="21" customFormat="false" ht="15" hidden="false" customHeight="false" outlineLevel="0" collapsed="false">
      <c r="A21" s="10" t="s">
        <v>380</v>
      </c>
      <c r="B21" s="35" t="s">
        <v>362</v>
      </c>
      <c r="C21" s="49"/>
      <c r="D21" s="36" t="n">
        <f aca="false">CPC!D55</f>
        <v>374800</v>
      </c>
      <c r="E21" s="36" t="n">
        <f aca="false">CPC!E55</f>
        <v>738200</v>
      </c>
      <c r="F21" s="36" t="n">
        <f aca="false">CPC!F55</f>
        <v>794500</v>
      </c>
      <c r="G21" s="36" t="n">
        <f aca="false">CPC!G55</f>
        <v>628300</v>
      </c>
      <c r="H21" s="36" t="n">
        <f aca="false">CPC!H55</f>
        <v>835000</v>
      </c>
      <c r="I21" s="36" t="n">
        <f aca="false">CPC!I55</f>
        <v>536800</v>
      </c>
      <c r="J21" s="36" t="n">
        <f aca="false">CPC!J55</f>
        <v>820200</v>
      </c>
      <c r="K21" s="36" t="n">
        <f aca="false">CPC!K55</f>
        <v>213300</v>
      </c>
      <c r="L21" s="36" t="n">
        <f aca="false">CPC!L55</f>
        <v>680700</v>
      </c>
      <c r="M21" s="36" t="n">
        <f aca="false">CPC!M55</f>
        <v>1067400</v>
      </c>
      <c r="N21" s="36" t="n">
        <f aca="false">CPC!N55</f>
        <v>850000</v>
      </c>
      <c r="O21" s="36" t="n">
        <f aca="false">CPC!O55</f>
        <v>871000</v>
      </c>
      <c r="P21" s="50" t="n">
        <f aca="false">CPC!P55</f>
        <v>8410200</v>
      </c>
      <c r="Q21" s="51" t="n">
        <f aca="false">IFERROR(INDEX($D21:$O21,MATCH($C$4,$D$9:$O$9,0)),"–")</f>
        <v>871000</v>
      </c>
    </row>
    <row r="22" customFormat="false" ht="15" hidden="false" customHeight="false" outlineLevel="0" collapsed="false">
      <c r="A22" s="10" t="s">
        <v>381</v>
      </c>
      <c r="B22" s="35" t="s">
        <v>362</v>
      </c>
      <c r="C22" s="49"/>
      <c r="D22" s="36" t="n">
        <f aca="false">Balance!F81</f>
        <v>345400</v>
      </c>
      <c r="E22" s="36" t="n">
        <f aca="false">Balance!G81</f>
        <v>689100</v>
      </c>
      <c r="F22" s="36" t="n">
        <f aca="false">Balance!H81</f>
        <v>731500</v>
      </c>
      <c r="G22" s="36" t="n">
        <f aca="false">Balance!I81</f>
        <v>579200</v>
      </c>
      <c r="H22" s="36" t="n">
        <f aca="false">Balance!J81</f>
        <v>791900</v>
      </c>
      <c r="I22" s="36" t="n">
        <f aca="false">Balance!K81</f>
        <v>494100</v>
      </c>
      <c r="J22" s="36" t="n">
        <f aca="false">Balance!L81</f>
        <v>757600</v>
      </c>
      <c r="K22" s="36" t="n">
        <f aca="false">Balance!M81</f>
        <v>195300</v>
      </c>
      <c r="L22" s="36" t="n">
        <f aca="false">Balance!N81</f>
        <v>625300</v>
      </c>
      <c r="M22" s="36" t="n">
        <f aca="false">Balance!O81</f>
        <v>1010900</v>
      </c>
      <c r="N22" s="36" t="n">
        <f aca="false">Balance!P81</f>
        <v>806900</v>
      </c>
      <c r="O22" s="36" t="n">
        <f aca="false">Balance!Q81</f>
        <v>795800</v>
      </c>
      <c r="P22" s="50" t="n">
        <f aca="false">Balance!R81</f>
        <v>7823000</v>
      </c>
      <c r="Q22" s="51" t="n">
        <f aca="false">IFERROR(INDEX($D22:$O22,MATCH($C$4,$D$9:$O$9,0)),"–")</f>
        <v>795800</v>
      </c>
    </row>
    <row r="23" customFormat="false" ht="15" hidden="false" customHeight="false" outlineLevel="0" collapsed="false">
      <c r="A23" s="8" t="s">
        <v>382</v>
      </c>
      <c r="B23" s="35" t="s">
        <v>364</v>
      </c>
      <c r="C23" s="49" t="s">
        <v>383</v>
      </c>
      <c r="D23" s="52" t="n">
        <f aca="false">IFERROR(D21/D22-1,"–")</f>
        <v>0.0851187029530978</v>
      </c>
      <c r="E23" s="52" t="n">
        <f aca="false">IFERROR(E21/E22-1,"–")</f>
        <v>0.0712523581483093</v>
      </c>
      <c r="F23" s="52" t="n">
        <f aca="false">IFERROR(F21/F22-1,"–")</f>
        <v>0.0861244019138756</v>
      </c>
      <c r="G23" s="52" t="n">
        <f aca="false">IFERROR(G21/G22-1,"–")</f>
        <v>0.0847720994475139</v>
      </c>
      <c r="H23" s="52" t="n">
        <f aca="false">IFERROR(H21/H22-1,"–")</f>
        <v>0.0544260638969567</v>
      </c>
      <c r="I23" s="52" t="n">
        <f aca="false">IFERROR(I21/I22-1,"–")</f>
        <v>0.0864197530864197</v>
      </c>
      <c r="J23" s="52" t="n">
        <f aca="false">IFERROR(J21/J22-1,"–")</f>
        <v>0.0826293558606124</v>
      </c>
      <c r="K23" s="52" t="n">
        <f aca="false">IFERROR(K21/K22-1,"–")</f>
        <v>0.0921658986175116</v>
      </c>
      <c r="L23" s="52" t="n">
        <f aca="false">IFERROR(L21/L22-1,"–")</f>
        <v>0.0885974732128578</v>
      </c>
      <c r="M23" s="52" t="n">
        <f aca="false">IFERROR(M21/M22-1,"–")</f>
        <v>0.0558907903848056</v>
      </c>
      <c r="N23" s="52" t="n">
        <f aca="false">IFERROR(N21/N22-1,"–")</f>
        <v>0.0534143016482835</v>
      </c>
      <c r="O23" s="52" t="n">
        <f aca="false">IFERROR(O21/O22-1,"–")</f>
        <v>0.0944961045488817</v>
      </c>
      <c r="P23" s="64" t="n">
        <f aca="false">IFERROR(P21/P22-1,"–")</f>
        <v>0.0750607183944778</v>
      </c>
      <c r="Q23" s="54" t="n">
        <f aca="false">IFERROR(INDEX($D23:$O23,MATCH($C$4,$D$9:$O$9,0)),"–")</f>
        <v>0.0944961045488817</v>
      </c>
    </row>
    <row r="24" customFormat="false" ht="15" hidden="false" customHeight="false" outlineLevel="0" collapsed="false">
      <c r="A24" s="10" t="s">
        <v>384</v>
      </c>
      <c r="B24" s="35" t="s">
        <v>364</v>
      </c>
      <c r="C24" s="49" t="s">
        <v>385</v>
      </c>
      <c r="D24" s="55" t="n">
        <f aca="false">IFERROR(CPC!D18/D11,0)</f>
        <v>0.0653250773993808</v>
      </c>
      <c r="E24" s="55" t="n">
        <f aca="false">IFERROR(CPC!E18/E11,0)</f>
        <v>0.0644127076654037</v>
      </c>
      <c r="F24" s="55" t="n">
        <f aca="false">IFERROR(CPC!F18/F11,0)</f>
        <v>0.0608233731739708</v>
      </c>
      <c r="G24" s="55" t="n">
        <f aca="false">IFERROR(CPC!G18/G11,0)</f>
        <v>0.0621935845356493</v>
      </c>
      <c r="H24" s="55" t="n">
        <f aca="false">IFERROR(CPC!H18/H11,0)</f>
        <v>0.0735411670663469</v>
      </c>
      <c r="I24" s="55" t="n">
        <f aca="false">IFERROR(CPC!I18/I11,0)</f>
        <v>0.113915940543311</v>
      </c>
      <c r="J24" s="55" t="n">
        <f aca="false">IFERROR(CPC!J18/J11,0)</f>
        <v>0.0616698292220114</v>
      </c>
      <c r="K24" s="55" t="n">
        <f aca="false">IFERROR(CPC!K18/K11,0)</f>
        <v>0.0683646112600536</v>
      </c>
      <c r="L24" s="55" t="n">
        <f aca="false">IFERROR(CPC!L18/L11,0)</f>
        <v>0.0612494895875868</v>
      </c>
      <c r="M24" s="55" t="n">
        <f aca="false">IFERROR(CPC!M18/M11,0)</f>
        <v>0.0602989612363821</v>
      </c>
      <c r="N24" s="55" t="n">
        <f aca="false">IFERROR(CPC!N18/N11,0)</f>
        <v>0.0594890047031905</v>
      </c>
      <c r="O24" s="55" t="n">
        <f aca="false">IFERROR(CPC!O18/O11,0)</f>
        <v>0.0586374695863747</v>
      </c>
      <c r="P24" s="56" t="n">
        <f aca="false">IFERROR(CPC!P18/P11,0)</f>
        <v>0.0675873827791986</v>
      </c>
      <c r="Q24" s="57" t="n">
        <f aca="false">IFERROR(INDEX($D24:$O24,MATCH($C$4,$D$9:$O$9,0)),"–")</f>
        <v>0.0586374695863747</v>
      </c>
    </row>
    <row r="25" customFormat="false" ht="15" hidden="false" customHeight="false" outlineLevel="0" collapsed="false">
      <c r="A25" s="10" t="s">
        <v>386</v>
      </c>
      <c r="B25" s="35" t="s">
        <v>362</v>
      </c>
      <c r="C25" s="49" t="s">
        <v>387</v>
      </c>
      <c r="D25" s="36" t="n">
        <f aca="false">IFERROR(SUMPRODUCT((LEFT(Balance!$A$6:$A$75,4)="6121")*Balance!F$6:F$75)+SUMPRODUCT((LEFT(Balance!$A$6:$A$75,4)="6122")*Balance!F$6:F$75)+SUMPRODUCT((LEFT(Balance!$A$6:$A$75,4)="6124")*Balance!F$6:F$75)+SUMPRODUCT((LEFT(Balance!$A$6:$A$75,4)="6125")*Balance!F$6:F$75)+SUMPRODUCT((LEFT(Balance!$A$6:$A$75,4)="6126")*Balance!F$6:F$75)+SUMPRODUCT((LEFT(Balance!$A$6:$A$75,4)="6142")*Balance!F$6:F$75),0)</f>
        <v>3202000</v>
      </c>
      <c r="E25" s="36" t="n">
        <f aca="false">IFERROR(SUMPRODUCT((LEFT(Balance!$A$6:$A$75,4)="6121")*Balance!G$6:G$75)+SUMPRODUCT((LEFT(Balance!$A$6:$A$75,4)="6122")*Balance!G$6:G$75)+SUMPRODUCT((LEFT(Balance!$A$6:$A$75,4)="6124")*Balance!G$6:G$75)+SUMPRODUCT((LEFT(Balance!$A$6:$A$75,4)="6125")*Balance!G$6:G$75)+SUMPRODUCT((LEFT(Balance!$A$6:$A$75,4)="6126")*Balance!G$6:G$75)+SUMPRODUCT((LEFT(Balance!$A$6:$A$75,4)="6142")*Balance!G$6:G$75),0)</f>
        <v>3626000</v>
      </c>
      <c r="F25" s="36" t="n">
        <f aca="false">IFERROR(SUMPRODUCT((LEFT(Balance!$A$6:$A$75,4)="6121")*Balance!H$6:H$75)+SUMPRODUCT((LEFT(Balance!$A$6:$A$75,4)="6122")*Balance!H$6:H$75)+SUMPRODUCT((LEFT(Balance!$A$6:$A$75,4)="6124")*Balance!H$6:H$75)+SUMPRODUCT((LEFT(Balance!$A$6:$A$75,4)="6125")*Balance!H$6:H$75)+SUMPRODUCT((LEFT(Balance!$A$6:$A$75,4)="6126")*Balance!H$6:H$75)+SUMPRODUCT((LEFT(Balance!$A$6:$A$75,4)="6142")*Balance!H$6:H$75),0)</f>
        <v>3761000</v>
      </c>
      <c r="G25" s="36" t="n">
        <f aca="false">IFERROR(SUMPRODUCT((LEFT(Balance!$A$6:$A$75,4)="6121")*Balance!I$6:I$75)+SUMPRODUCT((LEFT(Balance!$A$6:$A$75,4)="6122")*Balance!I$6:I$75)+SUMPRODUCT((LEFT(Balance!$A$6:$A$75,4)="6124")*Balance!I$6:I$75)+SUMPRODUCT((LEFT(Balance!$A$6:$A$75,4)="6125")*Balance!I$6:I$75)+SUMPRODUCT((LEFT(Balance!$A$6:$A$75,4)="6126")*Balance!I$6:I$75)+SUMPRODUCT((LEFT(Balance!$A$6:$A$75,4)="6142")*Balance!I$6:I$75),0)</f>
        <v>3517000</v>
      </c>
      <c r="H25" s="36" t="n">
        <f aca="false">IFERROR(SUMPRODUCT((LEFT(Balance!$A$6:$A$75,4)="6121")*Balance!J$6:J$75)+SUMPRODUCT((LEFT(Balance!$A$6:$A$75,4)="6122")*Balance!J$6:J$75)+SUMPRODUCT((LEFT(Balance!$A$6:$A$75,4)="6124")*Balance!J$6:J$75)+SUMPRODUCT((LEFT(Balance!$A$6:$A$75,4)="6125")*Balance!J$6:J$75)+SUMPRODUCT((LEFT(Balance!$A$6:$A$75,4)="6126")*Balance!J$6:J$75)+SUMPRODUCT((LEFT(Balance!$A$6:$A$75,4)="6142")*Balance!J$6:J$75),0)</f>
        <v>3929000</v>
      </c>
      <c r="I25" s="36" t="n">
        <f aca="false">IFERROR(SUMPRODUCT((LEFT(Balance!$A$6:$A$75,4)="6121")*Balance!K$6:K$75)+SUMPRODUCT((LEFT(Balance!$A$6:$A$75,4)="6122")*Balance!K$6:K$75)+SUMPRODUCT((LEFT(Balance!$A$6:$A$75,4)="6124")*Balance!K$6:K$75)+SUMPRODUCT((LEFT(Balance!$A$6:$A$75,4)="6125")*Balance!K$6:K$75)+SUMPRODUCT((LEFT(Balance!$A$6:$A$75,4)="6126")*Balance!K$6:K$75)+SUMPRODUCT((LEFT(Balance!$A$6:$A$75,4)="6142")*Balance!K$6:K$75),0)</f>
        <v>3995000</v>
      </c>
      <c r="J25" s="36" t="n">
        <f aca="false">IFERROR(SUMPRODUCT((LEFT(Balance!$A$6:$A$75,4)="6121")*Balance!L$6:L$75)+SUMPRODUCT((LEFT(Balance!$A$6:$A$75,4)="6122")*Balance!L$6:L$75)+SUMPRODUCT((LEFT(Balance!$A$6:$A$75,4)="6124")*Balance!L$6:L$75)+SUMPRODUCT((LEFT(Balance!$A$6:$A$75,4)="6125")*Balance!L$6:L$75)+SUMPRODUCT((LEFT(Balance!$A$6:$A$75,4)="6126")*Balance!L$6:L$75)+SUMPRODUCT((LEFT(Balance!$A$6:$A$75,4)="6142")*Balance!L$6:L$75),0)</f>
        <v>3779000</v>
      </c>
      <c r="K25" s="36" t="n">
        <f aca="false">IFERROR(SUMPRODUCT((LEFT(Balance!$A$6:$A$75,4)="6121")*Balance!M$6:M$75)+SUMPRODUCT((LEFT(Balance!$A$6:$A$75,4)="6122")*Balance!M$6:M$75)+SUMPRODUCT((LEFT(Balance!$A$6:$A$75,4)="6124")*Balance!M$6:M$75)+SUMPRODUCT((LEFT(Balance!$A$6:$A$75,4)="6125")*Balance!M$6:M$75)+SUMPRODUCT((LEFT(Balance!$A$6:$A$75,4)="6126")*Balance!M$6:M$75)+SUMPRODUCT((LEFT(Balance!$A$6:$A$75,4)="6142")*Balance!M$6:M$75),0)</f>
        <v>3034000</v>
      </c>
      <c r="L25" s="36" t="n">
        <f aca="false">IFERROR(SUMPRODUCT((LEFT(Balance!$A$6:$A$75,4)="6121")*Balance!N$6:N$75)+SUMPRODUCT((LEFT(Balance!$A$6:$A$75,4)="6122")*Balance!N$6:N$75)+SUMPRODUCT((LEFT(Balance!$A$6:$A$75,4)="6124")*Balance!N$6:N$75)+SUMPRODUCT((LEFT(Balance!$A$6:$A$75,4)="6125")*Balance!N$6:N$75)+SUMPRODUCT((LEFT(Balance!$A$6:$A$75,4)="6126")*Balance!N$6:N$75)+SUMPRODUCT((LEFT(Balance!$A$6:$A$75,4)="6142")*Balance!N$6:N$75),0)</f>
        <v>3630000</v>
      </c>
      <c r="M25" s="36" t="n">
        <f aca="false">IFERROR(SUMPRODUCT((LEFT(Balance!$A$6:$A$75,4)="6121")*Balance!O$6:O$75)+SUMPRODUCT((LEFT(Balance!$A$6:$A$75,4)="6122")*Balance!O$6:O$75)+SUMPRODUCT((LEFT(Balance!$A$6:$A$75,4)="6124")*Balance!O$6:O$75)+SUMPRODUCT((LEFT(Balance!$A$6:$A$75,4)="6125")*Balance!O$6:O$75)+SUMPRODUCT((LEFT(Balance!$A$6:$A$75,4)="6126")*Balance!O$6:O$75)+SUMPRODUCT((LEFT(Balance!$A$6:$A$75,4)="6142")*Balance!O$6:O$75),0)</f>
        <v>4178000</v>
      </c>
      <c r="N25" s="36" t="n">
        <f aca="false">IFERROR(SUMPRODUCT((LEFT(Balance!$A$6:$A$75,4)="6121")*Balance!P$6:P$75)+SUMPRODUCT((LEFT(Balance!$A$6:$A$75,4)="6122")*Balance!P$6:P$75)+SUMPRODUCT((LEFT(Balance!$A$6:$A$75,4)="6124")*Balance!P$6:P$75)+SUMPRODUCT((LEFT(Balance!$A$6:$A$75,4)="6125")*Balance!P$6:P$75)+SUMPRODUCT((LEFT(Balance!$A$6:$A$75,4)="6126")*Balance!P$6:P$75)+SUMPRODUCT((LEFT(Balance!$A$6:$A$75,4)="6142")*Balance!P$6:P$75),0)</f>
        <v>3901000</v>
      </c>
      <c r="O25" s="36" t="n">
        <f aca="false">IFERROR(SUMPRODUCT((LEFT(Balance!$A$6:$A$75,4)="6121")*Balance!Q$6:Q$75)+SUMPRODUCT((LEFT(Balance!$A$6:$A$75,4)="6122")*Balance!Q$6:Q$75)+SUMPRODUCT((LEFT(Balance!$A$6:$A$75,4)="6124")*Balance!Q$6:Q$75)+SUMPRODUCT((LEFT(Balance!$A$6:$A$75,4)="6125")*Balance!Q$6:Q$75)+SUMPRODUCT((LEFT(Balance!$A$6:$A$75,4)="6126")*Balance!Q$6:Q$75)+SUMPRODUCT((LEFT(Balance!$A$6:$A$75,4)="6142")*Balance!Q$6:Q$75),0)</f>
        <v>4169000</v>
      </c>
      <c r="P25" s="50" t="n">
        <f aca="false">SUM(D25:O25)</f>
        <v>44721000</v>
      </c>
      <c r="Q25" s="51" t="n">
        <f aca="false">IFERROR(INDEX($D25:$O25,MATCH($C$4,$D$9:$O$9,0)),"–")</f>
        <v>4169000</v>
      </c>
    </row>
    <row r="26" customFormat="false" ht="15" hidden="false" customHeight="false" outlineLevel="0" collapsed="false">
      <c r="A26" s="10" t="s">
        <v>388</v>
      </c>
      <c r="B26" s="35" t="s">
        <v>362</v>
      </c>
      <c r="C26" s="49"/>
      <c r="D26" s="36" t="n">
        <f aca="false">ESG!D12+CPC!D6-CPC!D16-D25</f>
        <v>3065000</v>
      </c>
      <c r="E26" s="36" t="n">
        <f aca="false">ESG!E12+CPC!E6-CPC!E16-E25</f>
        <v>3483000</v>
      </c>
      <c r="F26" s="36" t="n">
        <f aca="false">ESG!F12+CPC!F6-CPC!F16-F25</f>
        <v>3600000</v>
      </c>
      <c r="G26" s="36" t="n">
        <f aca="false">ESG!G12+CPC!G6-CPC!G16-G25</f>
        <v>3364000</v>
      </c>
      <c r="H26" s="36" t="n">
        <f aca="false">ESG!H12+CPC!H6-CPC!H16-H25</f>
        <v>3774000</v>
      </c>
      <c r="I26" s="36" t="n">
        <f aca="false">ESG!I12+CPC!I6-CPC!I16-I25</f>
        <v>3831000</v>
      </c>
      <c r="J26" s="36" t="n">
        <f aca="false">ESG!J12+CPC!J6-CPC!J16-J25</f>
        <v>3624000</v>
      </c>
      <c r="K26" s="36" t="n">
        <f aca="false">ESG!K12+CPC!K6-CPC!K16-K25</f>
        <v>2910000</v>
      </c>
      <c r="L26" s="36" t="n">
        <f aca="false">ESG!L12+CPC!L6-CPC!L16-L25</f>
        <v>3475000</v>
      </c>
      <c r="M26" s="36" t="n">
        <f aca="false">ESG!M12+CPC!M6-CPC!M16-M25</f>
        <v>4015000</v>
      </c>
      <c r="N26" s="36" t="n">
        <f aca="false">ESG!N12+CPC!N6-CPC!N16-N25</f>
        <v>3731000</v>
      </c>
      <c r="O26" s="36" t="n">
        <f aca="false">ESG!O12+CPC!O6-CPC!O16-O25</f>
        <v>3996000</v>
      </c>
      <c r="P26" s="50" t="n">
        <f aca="false">SUM(D26:O26)</f>
        <v>42868000</v>
      </c>
      <c r="Q26" s="51" t="n">
        <f aca="false">IFERROR(INDEX($D26:$O26,MATCH($C$4,$D$9:$O$9,0)),"–")</f>
        <v>3996000</v>
      </c>
    </row>
    <row r="27" customFormat="false" ht="15" hidden="false" customHeight="false" outlineLevel="0" collapsed="false">
      <c r="A27" s="8" t="s">
        <v>389</v>
      </c>
      <c r="B27" s="35" t="s">
        <v>390</v>
      </c>
      <c r="C27" s="49" t="s">
        <v>391</v>
      </c>
      <c r="D27" s="65" t="n">
        <f aca="false">IF(D13&lt;=0,"n.s.",IFERROR(D26/D13,"n.s."))</f>
        <v>5.59817351598174</v>
      </c>
      <c r="E27" s="65" t="n">
        <f aca="false">IF(E13&lt;=0,"n.s.",IFERROR(E26/E13,"n.s."))</f>
        <v>3.67987321711569</v>
      </c>
      <c r="F27" s="65" t="n">
        <f aca="false">IF(F13&lt;=0,"n.s.",IFERROR(F26/F13,"n.s."))</f>
        <v>3.42368045649073</v>
      </c>
      <c r="G27" s="65" t="n">
        <f aca="false">IF(G13&lt;=0,"n.s.",IFERROR(G26/G13,"n.s."))</f>
        <v>4.1250766400981</v>
      </c>
      <c r="H27" s="65" t="n">
        <f aca="false">IF(H13&lt;=0,"n.s.",IFERROR(H26/H13,"n.s."))</f>
        <v>3.42623694961416</v>
      </c>
      <c r="I27" s="65" t="n">
        <f aca="false">IF(I13&lt;=0,"n.s.",IFERROR(I26/I13,"n.s."))</f>
        <v>5.05075807514832</v>
      </c>
      <c r="J27" s="65" t="n">
        <f aca="false">IF(J13&lt;=0,"n.s.",IFERROR(J26/J13,"n.s."))</f>
        <v>3.5133301017935</v>
      </c>
      <c r="K27" s="65" t="n">
        <f aca="false">IF(K13&lt;=0,"n.s.",IFERROR(K26/K13,"n.s."))</f>
        <v>8.80484114977307</v>
      </c>
      <c r="L27" s="65" t="n">
        <f aca="false">IF(L13&lt;=0,"n.s.",IFERROR(L26/L13,"n.s."))</f>
        <v>3.98737808376363</v>
      </c>
      <c r="M27" s="65" t="n">
        <f aca="false">IF(M13&lt;=0,"n.s.",IFERROR(M26/M13,"n.s."))</f>
        <v>2.89369369369369</v>
      </c>
      <c r="N27" s="65" t="n">
        <f aca="false">IF(N13&lt;=0,"n.s.",IFERROR(N26/N13,"n.s."))</f>
        <v>3.35370786516854</v>
      </c>
      <c r="O27" s="65" t="n">
        <f aca="false">IF(O13&lt;=0,"n.s.",IFERROR(O26/O13,"n.s."))</f>
        <v>3.51296703296703</v>
      </c>
      <c r="P27" s="66" t="n">
        <f aca="false">IF(P13&lt;=0,"n.s.",IFERROR(P26/P13,"n.s."))</f>
        <v>3.86476739992788</v>
      </c>
      <c r="Q27" s="67" t="n">
        <f aca="false">IFERROR(INDEX($D27:$O27,MATCH($C$4,$D$9:$O$9,0)),"–")</f>
        <v>3.51296703296703</v>
      </c>
    </row>
    <row r="28" customFormat="false" ht="15" hidden="false" customHeight="false" outlineLevel="0" collapsed="false">
      <c r="A28" s="23" t="s">
        <v>392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10" t="s">
        <v>393</v>
      </c>
      <c r="B29" s="35" t="s">
        <v>362</v>
      </c>
      <c r="C29" s="49"/>
      <c r="D29" s="36" t="n">
        <f aca="false">ESG!D12</f>
        <v>6234000</v>
      </c>
      <c r="E29" s="36" t="n">
        <f aca="false">ESG!E12</f>
        <v>7074000</v>
      </c>
      <c r="F29" s="36" t="n">
        <f aca="false">ESG!F12</f>
        <v>7323000</v>
      </c>
      <c r="G29" s="36" t="n">
        <f aca="false">ESG!G12</f>
        <v>6845000</v>
      </c>
      <c r="H29" s="36" t="n">
        <f aca="false">ESG!H12</f>
        <v>7665000</v>
      </c>
      <c r="I29" s="36" t="n">
        <f aca="false">ESG!I12</f>
        <v>7786000</v>
      </c>
      <c r="J29" s="36" t="n">
        <f aca="false">ESG!J12</f>
        <v>7365000</v>
      </c>
      <c r="K29" s="36" t="n">
        <f aca="false">ESG!K12</f>
        <v>5914000</v>
      </c>
      <c r="L29" s="36" t="n">
        <f aca="false">ESG!L12</f>
        <v>7068000</v>
      </c>
      <c r="M29" s="36" t="n">
        <f aca="false">ESG!M12</f>
        <v>8153000</v>
      </c>
      <c r="N29" s="36" t="n">
        <f aca="false">ESG!N12</f>
        <v>7592000</v>
      </c>
      <c r="O29" s="36" t="n">
        <f aca="false">ESG!O12</f>
        <v>8123000</v>
      </c>
      <c r="P29" s="50" t="n">
        <f aca="false">SUM(D29:O29)</f>
        <v>87142000</v>
      </c>
      <c r="Q29" s="51" t="n">
        <f aca="false">IFERROR(INDEX($D29:$O29,MATCH($C$4,$D$9:$O$9,0)),"–")</f>
        <v>8123000</v>
      </c>
    </row>
    <row r="30" customFormat="false" ht="15" hidden="false" customHeight="false" outlineLevel="0" collapsed="false">
      <c r="A30" s="10" t="s">
        <v>394</v>
      </c>
      <c r="B30" s="35" t="s">
        <v>362</v>
      </c>
      <c r="C30" s="49"/>
      <c r="D30" s="36" t="n">
        <f aca="false">ESG!D16</f>
        <v>2759000</v>
      </c>
      <c r="E30" s="36" t="n">
        <f aca="false">ESG!E16</f>
        <v>3165000</v>
      </c>
      <c r="F30" s="36" t="n">
        <f aca="false">ESG!F16</f>
        <v>3278000</v>
      </c>
      <c r="G30" s="36" t="n">
        <f aca="false">ESG!G16</f>
        <v>3049000</v>
      </c>
      <c r="H30" s="36" t="n">
        <f aca="false">ESG!H16</f>
        <v>3357000</v>
      </c>
      <c r="I30" s="36" t="n">
        <f aca="false">ESG!I16</f>
        <v>3082000</v>
      </c>
      <c r="J30" s="36" t="n">
        <f aca="false">ESG!J16</f>
        <v>3302000</v>
      </c>
      <c r="K30" s="36" t="n">
        <f aca="false">ESG!K16</f>
        <v>2609000</v>
      </c>
      <c r="L30" s="36" t="n">
        <f aca="false">ESG!L16</f>
        <v>3157000</v>
      </c>
      <c r="M30" s="36" t="n">
        <f aca="false">ESG!M16</f>
        <v>3681000</v>
      </c>
      <c r="N30" s="36" t="n">
        <f aca="false">ESG!N16</f>
        <v>3405000</v>
      </c>
      <c r="O30" s="36" t="n">
        <f aca="false">ESG!O16</f>
        <v>3662000</v>
      </c>
      <c r="P30" s="50" t="n">
        <f aca="false">SUM(D30:O30)</f>
        <v>38506000</v>
      </c>
      <c r="Q30" s="51" t="n">
        <f aca="false">IFERROR(INDEX($D30:$O30,MATCH($C$4,$D$9:$O$9,0)),"–")</f>
        <v>3662000</v>
      </c>
    </row>
    <row r="31" customFormat="false" ht="15" hidden="false" customHeight="false" outlineLevel="0" collapsed="false">
      <c r="A31" s="8" t="s">
        <v>395</v>
      </c>
      <c r="B31" s="35" t="s">
        <v>364</v>
      </c>
      <c r="C31" s="49" t="s">
        <v>396</v>
      </c>
      <c r="D31" s="55" t="n">
        <f aca="false">IFERROR(D30/D29,0)</f>
        <v>0.442572986846327</v>
      </c>
      <c r="E31" s="55" t="n">
        <f aca="false">IFERROR(E30/E29,0)</f>
        <v>0.447413061916879</v>
      </c>
      <c r="F31" s="55" t="n">
        <f aca="false">IFERROR(F30/F29,0)</f>
        <v>0.44763075242387</v>
      </c>
      <c r="G31" s="55" t="n">
        <f aca="false">IFERROR(G30/G29,0)</f>
        <v>0.445434623813002</v>
      </c>
      <c r="H31" s="55" t="n">
        <f aca="false">IFERROR(H30/H29,0)</f>
        <v>0.437964774951076</v>
      </c>
      <c r="I31" s="55" t="n">
        <f aca="false">IFERROR(I30/I29,0)</f>
        <v>0.395838684818906</v>
      </c>
      <c r="J31" s="55" t="n">
        <f aca="false">IFERROR(J30/J29,0)</f>
        <v>0.448336727766463</v>
      </c>
      <c r="K31" s="55" t="n">
        <f aca="false">IFERROR(K30/K29,0)</f>
        <v>0.441156577612445</v>
      </c>
      <c r="L31" s="55" t="n">
        <f aca="false">IFERROR(L30/L29,0)</f>
        <v>0.446661007357102</v>
      </c>
      <c r="M31" s="55" t="n">
        <f aca="false">IFERROR(M30/M29,0)</f>
        <v>0.451490248988103</v>
      </c>
      <c r="N31" s="55" t="n">
        <f aca="false">IFERROR(N30/N29,0)</f>
        <v>0.44849841938883</v>
      </c>
      <c r="O31" s="55" t="n">
        <f aca="false">IFERROR(O30/O29,0)</f>
        <v>0.450818663055521</v>
      </c>
      <c r="P31" s="56" t="n">
        <f aca="false">IFERROR(P30/P29,0)</f>
        <v>0.441876477473549</v>
      </c>
      <c r="Q31" s="57" t="n">
        <f aca="false">IFERROR(INDEX($D31:$O31,MATCH($C$4,$D$9:$O$9,0)),"–")</f>
        <v>0.450818663055521</v>
      </c>
    </row>
    <row r="32" customFormat="false" ht="15" hidden="false" customHeight="false" outlineLevel="0" collapsed="false">
      <c r="A32" s="8" t="s">
        <v>397</v>
      </c>
      <c r="B32" s="35" t="s">
        <v>364</v>
      </c>
      <c r="C32" s="49" t="s">
        <v>398</v>
      </c>
      <c r="D32" s="55" t="n">
        <f aca="false">IFERROR(CPC!D20/D30,0)</f>
        <v>0.67741935483871</v>
      </c>
      <c r="E32" s="55" t="n">
        <f aca="false">IFERROR(CPC!E20/E30,0)</f>
        <v>0.592733017377567</v>
      </c>
      <c r="F32" s="55" t="n">
        <f aca="false">IFERROR(CPC!F20/F30,0)</f>
        <v>0.574740695546065</v>
      </c>
      <c r="G32" s="55" t="n">
        <f aca="false">IFERROR(CPC!G20/G30,0)</f>
        <v>0.620203345359134</v>
      </c>
      <c r="H32" s="55" t="n">
        <f aca="false">IFERROR(CPC!H20/H30,0)</f>
        <v>0.565385761096217</v>
      </c>
      <c r="I32" s="55" t="n">
        <f aca="false">IFERROR(CPC!I20/I30,0)</f>
        <v>0.618429591174562</v>
      </c>
      <c r="J32" s="55" t="n">
        <f aca="false">IFERROR(CPC!J20/J30,0)</f>
        <v>0.579345850999394</v>
      </c>
      <c r="K32" s="55" t="n">
        <f aca="false">IFERROR(CPC!K20/K30,0)</f>
        <v>0.736297431966271</v>
      </c>
      <c r="L32" s="55" t="n">
        <f aca="false">IFERROR(CPC!L20/L30,0)</f>
        <v>0.610706366803928</v>
      </c>
      <c r="M32" s="55" t="n">
        <f aca="false">IFERROR(CPC!M20/M30,0)</f>
        <v>0.525944036946482</v>
      </c>
      <c r="N32" s="55" t="n">
        <f aca="false">IFERROR(CPC!N20/N30,0)</f>
        <v>0.570631424375918</v>
      </c>
      <c r="O32" s="55" t="n">
        <f aca="false">IFERROR(CPC!O20/O30,0)</f>
        <v>0.57209175314036</v>
      </c>
      <c r="P32" s="56" t="n">
        <f aca="false">IFERROR(CPC!P20/P30,0)</f>
        <v>0.598867708928479</v>
      </c>
      <c r="Q32" s="57" t="n">
        <f aca="false">IFERROR(INDEX($D32:$O32,MATCH($C$4,$D$9:$O$9,0)),"–")</f>
        <v>0.57209175314036</v>
      </c>
    </row>
    <row r="33" customFormat="false" ht="15" hidden="false" customHeight="false" outlineLevel="0" collapsed="false">
      <c r="A33" s="10" t="s">
        <v>399</v>
      </c>
      <c r="B33" s="35" t="s">
        <v>362</v>
      </c>
      <c r="C33" s="49"/>
      <c r="D33" s="36" t="n">
        <f aca="false">CPC!D27-CPC!D33</f>
        <v>20000</v>
      </c>
      <c r="E33" s="36" t="n">
        <f aca="false">CPC!E27-CPC!E33</f>
        <v>74000</v>
      </c>
      <c r="F33" s="36" t="n">
        <f aca="false">CPC!F27-CPC!F33</f>
        <v>58000</v>
      </c>
      <c r="G33" s="36" t="n">
        <f aca="false">CPC!G27-CPC!G33</f>
        <v>65000</v>
      </c>
      <c r="H33" s="36" t="n">
        <f aca="false">CPC!H27-CPC!H33</f>
        <v>36000</v>
      </c>
      <c r="I33" s="36" t="n">
        <f aca="false">CPC!I27-CPC!I33</f>
        <v>5000</v>
      </c>
      <c r="J33" s="36" t="n">
        <f aca="false">CPC!J27-CPC!J33</f>
        <v>85000</v>
      </c>
      <c r="K33" s="36" t="n">
        <f aca="false">CPC!K27-CPC!K33</f>
        <v>26000</v>
      </c>
      <c r="L33" s="36" t="n">
        <f aca="false">CPC!L27-CPC!L33</f>
        <v>68000</v>
      </c>
      <c r="M33" s="36" t="n">
        <f aca="false">CPC!M27-CPC!M33</f>
        <v>-6000</v>
      </c>
      <c r="N33" s="36" t="n">
        <f aca="false">CPC!N27-CPC!N33</f>
        <v>36000</v>
      </c>
      <c r="O33" s="36" t="n">
        <f aca="false">CPC!O27-CPC!O33</f>
        <v>36000</v>
      </c>
      <c r="P33" s="50" t="n">
        <f aca="false">SUM(D33:O33)</f>
        <v>503000</v>
      </c>
      <c r="Q33" s="51" t="n">
        <f aca="false">IFERROR(INDEX($D33:$O33,MATCH($C$4,$D$9:$O$9,0)),"–")</f>
        <v>36000</v>
      </c>
    </row>
    <row r="34" customFormat="false" ht="15" hidden="false" customHeight="false" outlineLevel="0" collapsed="false">
      <c r="A34" s="8" t="s">
        <v>400</v>
      </c>
      <c r="B34" s="35" t="s">
        <v>362</v>
      </c>
      <c r="C34" s="49"/>
      <c r="D34" s="36" t="n">
        <f aca="false">D13+D33</f>
        <v>567500</v>
      </c>
      <c r="E34" s="36" t="n">
        <f aca="false">E13+E33</f>
        <v>1020500</v>
      </c>
      <c r="F34" s="36" t="n">
        <f aca="false">F13+F33</f>
        <v>1109500</v>
      </c>
      <c r="G34" s="36" t="n">
        <f aca="false">G13+G33</f>
        <v>880500</v>
      </c>
      <c r="H34" s="36" t="n">
        <f aca="false">H13+H33</f>
        <v>1137500</v>
      </c>
      <c r="I34" s="36" t="n">
        <f aca="false">I13+I33</f>
        <v>763500</v>
      </c>
      <c r="J34" s="36" t="n">
        <f aca="false">J13+J33</f>
        <v>1116500</v>
      </c>
      <c r="K34" s="36" t="n">
        <f aca="false">K13+K33</f>
        <v>356500</v>
      </c>
      <c r="L34" s="36" t="n">
        <f aca="false">L13+L33</f>
        <v>939500</v>
      </c>
      <c r="M34" s="36" t="n">
        <f aca="false">M13+M33</f>
        <v>1381500</v>
      </c>
      <c r="N34" s="36" t="n">
        <f aca="false">N13+N33</f>
        <v>1148500</v>
      </c>
      <c r="O34" s="36" t="n">
        <f aca="false">O13+O33</f>
        <v>1173500</v>
      </c>
      <c r="P34" s="50" t="n">
        <f aca="false">SUM(D34:O34)</f>
        <v>11595000</v>
      </c>
      <c r="Q34" s="51" t="n">
        <f aca="false">IFERROR(INDEX($D34:$O34,MATCH($C$4,$D$9:$O$9,0)),"–")</f>
        <v>1173500</v>
      </c>
    </row>
    <row r="35" customFormat="false" ht="15" hidden="false" customHeight="false" outlineLevel="0" collapsed="false">
      <c r="A35" s="10" t="s">
        <v>401</v>
      </c>
      <c r="B35" s="35" t="s">
        <v>364</v>
      </c>
      <c r="C35" s="49" t="s">
        <v>402</v>
      </c>
      <c r="D35" s="52" t="n">
        <f aca="false">IF(D13&lt;=0,"n.s.",IFERROR(D33/D13,"n.s."))</f>
        <v>0.0365296803652968</v>
      </c>
      <c r="E35" s="52" t="n">
        <f aca="false">IF(E13&lt;=0,"n.s.",IFERROR(E33/E13,"n.s."))</f>
        <v>0.0781827786582145</v>
      </c>
      <c r="F35" s="52" t="n">
        <f aca="false">IF(F13&lt;=0,"n.s.",IFERROR(F33/F13,"n.s."))</f>
        <v>0.0551592962434617</v>
      </c>
      <c r="G35" s="52" t="n">
        <f aca="false">IF(G13&lt;=0,"n.s.",IFERROR(G33/G13,"n.s."))</f>
        <v>0.0797057020232986</v>
      </c>
      <c r="H35" s="52" t="n">
        <f aca="false">IF(H13&lt;=0,"n.s.",IFERROR(H33/H13,"n.s."))</f>
        <v>0.0326827054017249</v>
      </c>
      <c r="I35" s="52" t="n">
        <f aca="false">IF(I13&lt;=0,"n.s.",IFERROR(I33/I13,"n.s."))</f>
        <v>0.00659195781147001</v>
      </c>
      <c r="J35" s="52" t="n">
        <f aca="false">IF(J13&lt;=0,"n.s.",IFERROR(J33/J13,"n.s."))</f>
        <v>0.0824042656325739</v>
      </c>
      <c r="K35" s="52" t="n">
        <f aca="false">IF(K13&lt;=0,"n.s.",IFERROR(K33/K13,"n.s."))</f>
        <v>0.0786686838124055</v>
      </c>
      <c r="L35" s="52" t="n">
        <f aca="false">IF(L13&lt;=0,"n.s.",IFERROR(L33/L13,"n.s."))</f>
        <v>0.0780263912794033</v>
      </c>
      <c r="M35" s="52" t="n">
        <f aca="false">IF(M13&lt;=0,"n.s.",IFERROR(M33/M13,"n.s."))</f>
        <v>-0.00432432432432432</v>
      </c>
      <c r="N35" s="52" t="n">
        <f aca="false">IF(N13&lt;=0,"n.s.",IFERROR(N33/N13,"n.s."))</f>
        <v>0.0323595505617978</v>
      </c>
      <c r="O35" s="52" t="n">
        <f aca="false">IF(O13&lt;=0,"n.s.",IFERROR(O33/O13,"n.s."))</f>
        <v>0.0316483516483517</v>
      </c>
      <c r="P35" s="64" t="n">
        <f aca="false">IF(P13&lt;=0,"n.s.",IFERROR(P33/P13,"n.s."))</f>
        <v>0.0453479985575189</v>
      </c>
      <c r="Q35" s="54" t="n">
        <f aca="false">IFERROR(INDEX($D35:$O35,MATCH($C$4,$D$9:$O$9,0)),"–")</f>
        <v>0.0316483516483517</v>
      </c>
    </row>
    <row r="36" customFormat="false" ht="15" hidden="false" customHeight="false" outlineLevel="0" collapsed="false">
      <c r="A36" s="23" t="s">
        <v>403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customFormat="false" ht="15" hidden="false" customHeight="false" outlineLevel="0" collapsed="false">
      <c r="A37" s="10" t="s">
        <v>404</v>
      </c>
      <c r="B37" s="35" t="s">
        <v>362</v>
      </c>
      <c r="C37" s="49"/>
      <c r="D37" s="36" t="n">
        <f aca="false">SUMPRODUCT((LEFT(Balance!$A$6:$A$75,3)="148")*Balance!F$6:F$75)</f>
        <v>23700000</v>
      </c>
      <c r="E37" s="36" t="n">
        <f aca="false">SUMPRODUCT((LEFT(Balance!$A$6:$A$75,3)="148")*Balance!G$6:G$75)</f>
        <v>23400000</v>
      </c>
      <c r="F37" s="36" t="n">
        <f aca="false">SUMPRODUCT((LEFT(Balance!$A$6:$A$75,3)="148")*Balance!H$6:H$75)</f>
        <v>23100000</v>
      </c>
      <c r="G37" s="36" t="n">
        <f aca="false">SUMPRODUCT((LEFT(Balance!$A$6:$A$75,3)="148")*Balance!I$6:I$75)</f>
        <v>22800000</v>
      </c>
      <c r="H37" s="36" t="n">
        <f aca="false">SUMPRODUCT((LEFT(Balance!$A$6:$A$75,3)="148")*Balance!J$6:J$75)</f>
        <v>22500000</v>
      </c>
      <c r="I37" s="36" t="n">
        <f aca="false">SUMPRODUCT((LEFT(Balance!$A$6:$A$75,3)="148")*Balance!K$6:K$75)</f>
        <v>22200000</v>
      </c>
      <c r="J37" s="36" t="n">
        <f aca="false">SUMPRODUCT((LEFT(Balance!$A$6:$A$75,3)="148")*Balance!L$6:L$75)</f>
        <v>21900000</v>
      </c>
      <c r="K37" s="36" t="n">
        <f aca="false">SUMPRODUCT((LEFT(Balance!$A$6:$A$75,3)="148")*Balance!M$6:M$75)</f>
        <v>21600000</v>
      </c>
      <c r="L37" s="36" t="n">
        <f aca="false">SUMPRODUCT((LEFT(Balance!$A$6:$A$75,3)="148")*Balance!N$6:N$75)</f>
        <v>21300000</v>
      </c>
      <c r="M37" s="36" t="n">
        <f aca="false">SUMPRODUCT((LEFT(Balance!$A$6:$A$75,3)="148")*Balance!O$6:O$75)</f>
        <v>21000000</v>
      </c>
      <c r="N37" s="36" t="n">
        <f aca="false">SUMPRODUCT((LEFT(Balance!$A$6:$A$75,3)="148")*Balance!P$6:P$75)</f>
        <v>20700000</v>
      </c>
      <c r="O37" s="36" t="n">
        <f aca="false">SUMPRODUCT((LEFT(Balance!$A$6:$A$75,3)="148")*Balance!Q$6:Q$75)</f>
        <v>20400000</v>
      </c>
      <c r="P37" s="50" t="n">
        <f aca="false">O37</f>
        <v>20400000</v>
      </c>
      <c r="Q37" s="51" t="n">
        <f aca="false">IFERROR(INDEX($D37:$O37,MATCH($C$4,$D$9:$O$9,0)),"–")</f>
        <v>20400000</v>
      </c>
    </row>
    <row r="38" customFormat="false" ht="15" hidden="false" customHeight="false" outlineLevel="0" collapsed="false">
      <c r="A38" s="10" t="s">
        <v>260</v>
      </c>
      <c r="B38" s="35" t="s">
        <v>362</v>
      </c>
      <c r="C38" s="49"/>
      <c r="D38" s="36" t="n">
        <f aca="false">CPC!D32</f>
        <v>104000</v>
      </c>
      <c r="E38" s="36" t="n">
        <f aca="false">CPC!E32</f>
        <v>102700</v>
      </c>
      <c r="F38" s="36" t="n">
        <f aca="false">CPC!F32</f>
        <v>101400</v>
      </c>
      <c r="G38" s="36" t="n">
        <f aca="false">CPC!G32</f>
        <v>100100</v>
      </c>
      <c r="H38" s="36" t="n">
        <f aca="false">CPC!H32</f>
        <v>98800</v>
      </c>
      <c r="I38" s="36" t="n">
        <f aca="false">CPC!I32</f>
        <v>97500</v>
      </c>
      <c r="J38" s="36" t="n">
        <f aca="false">CPC!J32</f>
        <v>96200</v>
      </c>
      <c r="K38" s="36" t="n">
        <f aca="false">CPC!K32</f>
        <v>94900</v>
      </c>
      <c r="L38" s="36" t="n">
        <f aca="false">CPC!L32</f>
        <v>93600</v>
      </c>
      <c r="M38" s="36" t="n">
        <f aca="false">CPC!M32</f>
        <v>92300</v>
      </c>
      <c r="N38" s="36" t="n">
        <f aca="false">CPC!N32</f>
        <v>91000</v>
      </c>
      <c r="O38" s="36" t="n">
        <f aca="false">CPC!O32</f>
        <v>89700</v>
      </c>
      <c r="P38" s="50" t="n">
        <f aca="false">SUM(D38:O38)</f>
        <v>1162200</v>
      </c>
      <c r="Q38" s="51" t="n">
        <f aca="false">IFERROR(INDEX($D38:$O38,MATCH($C$4,$D$9:$O$9,0)),"–")</f>
        <v>89700</v>
      </c>
    </row>
    <row r="39" customFormat="false" ht="15" hidden="false" customHeight="false" outlineLevel="0" collapsed="false">
      <c r="A39" s="8" t="s">
        <v>405</v>
      </c>
      <c r="B39" s="35" t="s">
        <v>364</v>
      </c>
      <c r="C39" s="49" t="s">
        <v>406</v>
      </c>
      <c r="D39" s="55" t="n">
        <f aca="false">IFERROR(D38*12/D37,0)</f>
        <v>0.0526582278481013</v>
      </c>
      <c r="E39" s="55" t="n">
        <f aca="false">IFERROR(E38*12/E37,0)</f>
        <v>0.0526666666666667</v>
      </c>
      <c r="F39" s="55" t="n">
        <f aca="false">IFERROR(F38*12/F37,0)</f>
        <v>0.0526753246753247</v>
      </c>
      <c r="G39" s="55" t="n">
        <f aca="false">IFERROR(G38*12/G37,0)</f>
        <v>0.0526842105263158</v>
      </c>
      <c r="H39" s="55" t="n">
        <f aca="false">IFERROR(H38*12/H37,0)</f>
        <v>0.0526933333333333</v>
      </c>
      <c r="I39" s="55" t="n">
        <f aca="false">IFERROR(I38*12/I37,0)</f>
        <v>0.0527027027027027</v>
      </c>
      <c r="J39" s="55" t="n">
        <f aca="false">IFERROR(J38*12/J37,0)</f>
        <v>0.0527123287671233</v>
      </c>
      <c r="K39" s="55" t="n">
        <f aca="false">IFERROR(K38*12/K37,0)</f>
        <v>0.0527222222222222</v>
      </c>
      <c r="L39" s="55" t="n">
        <f aca="false">IFERROR(L38*12/L37,0)</f>
        <v>0.0527323943661972</v>
      </c>
      <c r="M39" s="55" t="n">
        <f aca="false">IFERROR(M38*12/M37,0)</f>
        <v>0.0527428571428571</v>
      </c>
      <c r="N39" s="55" t="n">
        <f aca="false">IFERROR(N38*12/N37,0)</f>
        <v>0.0527536231884058</v>
      </c>
      <c r="O39" s="55" t="n">
        <f aca="false">IFERROR(O38*12/O37,0)</f>
        <v>0.0527647058823529</v>
      </c>
      <c r="P39" s="56" t="n">
        <f aca="false">IFERROR(P38/AVERAGE(D37:O37),0)</f>
        <v>0.0527074829931973</v>
      </c>
      <c r="Q39" s="57" t="n">
        <f aca="false">IFERROR(INDEX($D39:$O39,MATCH($C$4,$D$9:$O$9,0)),"–")</f>
        <v>0.0527647058823529</v>
      </c>
    </row>
    <row r="40" customFormat="false" ht="15" hidden="false" customHeight="false" outlineLevel="0" collapsed="false">
      <c r="A40" s="10" t="s">
        <v>407</v>
      </c>
      <c r="B40" s="35" t="s">
        <v>362</v>
      </c>
      <c r="C40" s="49"/>
      <c r="D40" s="36" t="n">
        <f aca="false">SUMPRODUCT((LEFT(Balance!$A$6:$A$75,2)="31")*Balance!F$6:F$75)</f>
        <v>16392000</v>
      </c>
      <c r="E40" s="36" t="n">
        <f aca="false">SUMPRODUCT((LEFT(Balance!$A$6:$A$75,2)="31")*Balance!G$6:G$75)</f>
        <v>16614000</v>
      </c>
      <c r="F40" s="36" t="n">
        <f aca="false">SUMPRODUCT((LEFT(Balance!$A$6:$A$75,2)="31")*Balance!H$6:H$75)</f>
        <v>16628000</v>
      </c>
      <c r="G40" s="36" t="n">
        <f aca="false">SUMPRODUCT((LEFT(Balance!$A$6:$A$75,2)="31")*Balance!I$6:I$75)</f>
        <v>16430000</v>
      </c>
      <c r="H40" s="36" t="n">
        <f aca="false">SUMPRODUCT((LEFT(Balance!$A$6:$A$75,2)="31")*Balance!J$6:J$75)</f>
        <v>16898000</v>
      </c>
      <c r="I40" s="36" t="n">
        <f aca="false">SUMPRODUCT((LEFT(Balance!$A$6:$A$75,2)="31")*Balance!K$6:K$75)</f>
        <v>17023000</v>
      </c>
      <c r="J40" s="36" t="n">
        <f aca="false">SUMPRODUCT((LEFT(Balance!$A$6:$A$75,2)="31")*Balance!L$6:L$75)</f>
        <v>17131000</v>
      </c>
      <c r="K40" s="36" t="n">
        <f aca="false">SUMPRODUCT((LEFT(Balance!$A$6:$A$75,2)="31")*Balance!M$6:M$75)</f>
        <v>17149000</v>
      </c>
      <c r="L40" s="36" t="n">
        <f aca="false">SUMPRODUCT((LEFT(Balance!$A$6:$A$75,2)="31")*Balance!N$6:N$75)</f>
        <v>16855000</v>
      </c>
      <c r="M40" s="36" t="n">
        <f aca="false">SUMPRODUCT((LEFT(Balance!$A$6:$A$75,2)="31")*Balance!O$6:O$75)</f>
        <v>17035000</v>
      </c>
      <c r="N40" s="36" t="n">
        <f aca="false">SUMPRODUCT((LEFT(Balance!$A$6:$A$75,2)="31")*Balance!P$6:P$75)</f>
        <v>17103000</v>
      </c>
      <c r="O40" s="36" t="n">
        <f aca="false">SUMPRODUCT((LEFT(Balance!$A$6:$A$75,2)="31")*Balance!Q$6:Q$75)</f>
        <v>17363000</v>
      </c>
      <c r="P40" s="50" t="n">
        <f aca="false">O40</f>
        <v>17363000</v>
      </c>
      <c r="Q40" s="51" t="n">
        <f aca="false">IFERROR(INDEX($D40:$O40,MATCH($C$4,$D$9:$O$9,0)),"–")</f>
        <v>17363000</v>
      </c>
    </row>
    <row r="41" customFormat="false" ht="15" hidden="false" customHeight="false" outlineLevel="0" collapsed="false">
      <c r="A41" s="10" t="s">
        <v>408</v>
      </c>
      <c r="B41" s="35" t="s">
        <v>362</v>
      </c>
      <c r="C41" s="49"/>
      <c r="D41" s="36" t="n">
        <f aca="false">SUMPRODUCT((LEFT(Balance!$A$6:$A$75,3)="342")*Balance!F$6:F$75)</f>
        <v>13008000</v>
      </c>
      <c r="E41" s="36" t="n">
        <f aca="false">SUMPRODUCT((LEFT(Balance!$A$6:$A$75,3)="342")*Balance!G$6:G$75)</f>
        <v>14800000</v>
      </c>
      <c r="F41" s="36" t="n">
        <f aca="false">SUMPRODUCT((LEFT(Balance!$A$6:$A$75,3)="342")*Balance!H$6:H$75)</f>
        <v>15364000</v>
      </c>
      <c r="G41" s="36" t="n">
        <f aca="false">SUMPRODUCT((LEFT(Balance!$A$6:$A$75,3)="342")*Balance!I$6:I$75)</f>
        <v>15216000</v>
      </c>
      <c r="H41" s="36" t="n">
        <f aca="false">SUMPRODUCT((LEFT(Balance!$A$6:$A$75,3)="342")*Balance!J$6:J$75)</f>
        <v>14074000</v>
      </c>
      <c r="I41" s="36" t="n">
        <f aca="false">SUMPRODUCT((LEFT(Balance!$A$6:$A$75,3)="342")*Balance!K$6:K$75)</f>
        <v>16587000</v>
      </c>
      <c r="J41" s="36" t="n">
        <f aca="false">SUMPRODUCT((LEFT(Balance!$A$6:$A$75,3)="342")*Balance!L$6:L$75)</f>
        <v>15072000</v>
      </c>
      <c r="K41" s="36" t="n">
        <f aca="false">SUMPRODUCT((LEFT(Balance!$A$6:$A$75,3)="342")*Balance!M$6:M$75)</f>
        <v>11500000</v>
      </c>
      <c r="L41" s="36" t="n">
        <f aca="false">SUMPRODUCT((LEFT(Balance!$A$6:$A$75,3)="342")*Balance!N$6:N$75)</f>
        <v>15610000</v>
      </c>
      <c r="M41" s="36" t="n">
        <f aca="false">SUMPRODUCT((LEFT(Balance!$A$6:$A$75,3)="342")*Balance!O$6:O$75)</f>
        <v>15194000</v>
      </c>
      <c r="N41" s="36" t="n">
        <f aca="false">SUMPRODUCT((LEFT(Balance!$A$6:$A$75,3)="342")*Balance!P$6:P$75)</f>
        <v>16682000</v>
      </c>
      <c r="O41" s="36" t="n">
        <f aca="false">SUMPRODUCT((LEFT(Balance!$A$6:$A$75,3)="342")*Balance!Q$6:Q$75)</f>
        <v>15516000</v>
      </c>
      <c r="P41" s="50" t="n">
        <f aca="false">O41</f>
        <v>15516000</v>
      </c>
      <c r="Q41" s="51" t="n">
        <f aca="false">IFERROR(INDEX($D41:$O41,MATCH($C$4,$D$9:$O$9,0)),"–")</f>
        <v>15516000</v>
      </c>
    </row>
    <row r="42" customFormat="false" ht="15" hidden="false" customHeight="false" outlineLevel="0" collapsed="false">
      <c r="A42" s="10" t="s">
        <v>409</v>
      </c>
      <c r="B42" s="35" t="s">
        <v>362</v>
      </c>
      <c r="C42" s="49"/>
      <c r="D42" s="36" t="n">
        <f aca="false">SUMPRODUCT((LEFT(Balance!$A$6:$A$75,3)="394")*Balance!F$6:F$75)</f>
        <v>180000</v>
      </c>
      <c r="E42" s="36" t="n">
        <f aca="false">SUMPRODUCT((LEFT(Balance!$A$6:$A$75,3)="394")*Balance!G$6:G$75)</f>
        <v>180000</v>
      </c>
      <c r="F42" s="36" t="n">
        <f aca="false">SUMPRODUCT((LEFT(Balance!$A$6:$A$75,3)="394")*Balance!H$6:H$75)</f>
        <v>180000</v>
      </c>
      <c r="G42" s="36" t="n">
        <f aca="false">SUMPRODUCT((LEFT(Balance!$A$6:$A$75,3)="394")*Balance!I$6:I$75)</f>
        <v>180000</v>
      </c>
      <c r="H42" s="36" t="n">
        <f aca="false">SUMPRODUCT((LEFT(Balance!$A$6:$A$75,3)="394")*Balance!J$6:J$75)</f>
        <v>180000</v>
      </c>
      <c r="I42" s="36" t="n">
        <f aca="false">SUMPRODUCT((LEFT(Balance!$A$6:$A$75,3)="394")*Balance!K$6:K$75)</f>
        <v>240000</v>
      </c>
      <c r="J42" s="36" t="n">
        <f aca="false">SUMPRODUCT((LEFT(Balance!$A$6:$A$75,3)="394")*Balance!L$6:L$75)</f>
        <v>240000</v>
      </c>
      <c r="K42" s="36" t="n">
        <f aca="false">SUMPRODUCT((LEFT(Balance!$A$6:$A$75,3)="394")*Balance!M$6:M$75)</f>
        <v>240000</v>
      </c>
      <c r="L42" s="36" t="n">
        <f aca="false">SUMPRODUCT((LEFT(Balance!$A$6:$A$75,3)="394")*Balance!N$6:N$75)</f>
        <v>240000</v>
      </c>
      <c r="M42" s="36" t="n">
        <f aca="false">SUMPRODUCT((LEFT(Balance!$A$6:$A$75,3)="394")*Balance!O$6:O$75)</f>
        <v>240000</v>
      </c>
      <c r="N42" s="36" t="n">
        <f aca="false">SUMPRODUCT((LEFT(Balance!$A$6:$A$75,3)="394")*Balance!P$6:P$75)</f>
        <v>240000</v>
      </c>
      <c r="O42" s="36" t="n">
        <f aca="false">SUMPRODUCT((LEFT(Balance!$A$6:$A$75,3)="394")*Balance!Q$6:Q$75)</f>
        <v>285000</v>
      </c>
      <c r="P42" s="50" t="n">
        <f aca="false">O42</f>
        <v>285000</v>
      </c>
      <c r="Q42" s="51" t="n">
        <f aca="false">IFERROR(INDEX($D42:$O42,MATCH($C$4,$D$9:$O$9,0)),"–")</f>
        <v>285000</v>
      </c>
    </row>
    <row r="43" customFormat="false" ht="15" hidden="false" customHeight="false" outlineLevel="0" collapsed="false">
      <c r="A43" s="10" t="s">
        <v>410</v>
      </c>
      <c r="B43" s="35" t="s">
        <v>362</v>
      </c>
      <c r="C43" s="49"/>
      <c r="D43" s="36" t="n">
        <f aca="false">SUMPRODUCT((LEFT(Balance!$A$6:$A$75,3)="345")*Balance!F$6:F$75)</f>
        <v>252000</v>
      </c>
      <c r="E43" s="36" t="n">
        <f aca="false">SUMPRODUCT((LEFT(Balance!$A$6:$A$75,3)="345")*Balance!G$6:G$75)</f>
        <v>274000</v>
      </c>
      <c r="F43" s="36" t="n">
        <f aca="false">SUMPRODUCT((LEFT(Balance!$A$6:$A$75,3)="345")*Balance!H$6:H$75)</f>
        <v>307000</v>
      </c>
      <c r="G43" s="36" t="n">
        <f aca="false">SUMPRODUCT((LEFT(Balance!$A$6:$A$75,3)="345")*Balance!I$6:I$75)</f>
        <v>272000</v>
      </c>
      <c r="H43" s="36" t="n">
        <f aca="false">SUMPRODUCT((LEFT(Balance!$A$6:$A$75,3)="345")*Balance!J$6:J$75)</f>
        <v>323000</v>
      </c>
      <c r="I43" s="36" t="n">
        <f aca="false">SUMPRODUCT((LEFT(Balance!$A$6:$A$75,3)="345")*Balance!K$6:K$75)</f>
        <v>339000</v>
      </c>
      <c r="J43" s="36" t="n">
        <f aca="false">SUMPRODUCT((LEFT(Balance!$A$6:$A$75,3)="345")*Balance!L$6:L$75)</f>
        <v>293000</v>
      </c>
      <c r="K43" s="36" t="n">
        <f aca="false">SUMPRODUCT((LEFT(Balance!$A$6:$A$75,3)="345")*Balance!M$6:M$75)</f>
        <v>236000</v>
      </c>
      <c r="L43" s="36" t="n">
        <f aca="false">SUMPRODUCT((LEFT(Balance!$A$6:$A$75,3)="345")*Balance!N$6:N$75)</f>
        <v>279000</v>
      </c>
      <c r="M43" s="36" t="n">
        <f aca="false">SUMPRODUCT((LEFT(Balance!$A$6:$A$75,3)="345")*Balance!O$6:O$75)</f>
        <v>308000</v>
      </c>
      <c r="N43" s="36" t="n">
        <f aca="false">SUMPRODUCT((LEFT(Balance!$A$6:$A$75,3)="345")*Balance!P$6:P$75)</f>
        <v>317000</v>
      </c>
      <c r="O43" s="36" t="n">
        <f aca="false">SUMPRODUCT((LEFT(Balance!$A$6:$A$75,3)="345")*Balance!Q$6:Q$75)</f>
        <v>337000</v>
      </c>
      <c r="P43" s="50" t="n">
        <f aca="false">O43</f>
        <v>337000</v>
      </c>
      <c r="Q43" s="51" t="n">
        <f aca="false">IFERROR(INDEX($D43:$O43,MATCH($C$4,$D$9:$O$9,0)),"–")</f>
        <v>337000</v>
      </c>
    </row>
    <row r="44" customFormat="false" ht="15" hidden="false" customHeight="false" outlineLevel="0" collapsed="false">
      <c r="A44" s="10" t="s">
        <v>411</v>
      </c>
      <c r="B44" s="35" t="s">
        <v>362</v>
      </c>
      <c r="C44" s="49"/>
      <c r="D44" s="36" t="n">
        <f aca="false">SUMPRODUCT((LEFT(Balance!$A$6:$A$75,3)="441")*Balance!F$6:F$75)</f>
        <v>7571000</v>
      </c>
      <c r="E44" s="36" t="n">
        <f aca="false">SUMPRODUCT((LEFT(Balance!$A$6:$A$75,3)="441")*Balance!G$6:G$75)</f>
        <v>8119000</v>
      </c>
      <c r="F44" s="36" t="n">
        <f aca="false">SUMPRODUCT((LEFT(Balance!$A$6:$A$75,3)="441")*Balance!H$6:H$75)</f>
        <v>9137000</v>
      </c>
      <c r="G44" s="36" t="n">
        <f aca="false">SUMPRODUCT((LEFT(Balance!$A$6:$A$75,3)="441")*Balance!I$6:I$75)</f>
        <v>8719000</v>
      </c>
      <c r="H44" s="36" t="n">
        <f aca="false">SUMPRODUCT((LEFT(Balance!$A$6:$A$75,3)="441")*Balance!J$6:J$75)</f>
        <v>9313000</v>
      </c>
      <c r="I44" s="36" t="n">
        <f aca="false">SUMPRODUCT((LEFT(Balance!$A$6:$A$75,3)="441")*Balance!K$6:K$75)</f>
        <v>9788000</v>
      </c>
      <c r="J44" s="36" t="n">
        <f aca="false">SUMPRODUCT((LEFT(Balance!$A$6:$A$75,3)="441")*Balance!L$6:L$75)</f>
        <v>9884000</v>
      </c>
      <c r="K44" s="36" t="n">
        <f aca="false">SUMPRODUCT((LEFT(Balance!$A$6:$A$75,3)="441")*Balance!M$6:M$75)</f>
        <v>7297000</v>
      </c>
      <c r="L44" s="36" t="n">
        <f aca="false">SUMPRODUCT((LEFT(Balance!$A$6:$A$75,3)="441")*Balance!N$6:N$75)</f>
        <v>9104000</v>
      </c>
      <c r="M44" s="36" t="n">
        <f aca="false">SUMPRODUCT((LEFT(Balance!$A$6:$A$75,3)="441")*Balance!O$6:O$75)</f>
        <v>9824000</v>
      </c>
      <c r="N44" s="36" t="n">
        <f aca="false">SUMPRODUCT((LEFT(Balance!$A$6:$A$75,3)="441")*Balance!P$6:P$75)</f>
        <v>9664000</v>
      </c>
      <c r="O44" s="36" t="n">
        <f aca="false">SUMPRODUCT((LEFT(Balance!$A$6:$A$75,3)="441")*Balance!Q$6:Q$75)</f>
        <v>10985000</v>
      </c>
      <c r="P44" s="50" t="n">
        <f aca="false">O44</f>
        <v>10985000</v>
      </c>
      <c r="Q44" s="51" t="n">
        <f aca="false">IFERROR(INDEX($D44:$O44,MATCH($C$4,$D$9:$O$9,0)),"–")</f>
        <v>10985000</v>
      </c>
    </row>
    <row r="45" customFormat="false" ht="15" hidden="false" customHeight="false" outlineLevel="0" collapsed="false">
      <c r="A45" s="10" t="s">
        <v>412</v>
      </c>
      <c r="B45" s="35" t="s">
        <v>362</v>
      </c>
      <c r="C45" s="49"/>
      <c r="D45" s="36" t="n">
        <f aca="false">SUMPRODUCT((LEFT(Balance!$A$6:$A$75,3)="443")*Balance!F$6:F$75)+SUMPRODUCT((LEFT(Balance!$A$6:$A$75,3)="444")*Balance!F$6:F$75)+SUMPRODUCT((LEFT(Balance!$A$6:$A$75,3)="445")*Balance!F$6:F$75)</f>
        <v>809700</v>
      </c>
      <c r="E45" s="36" t="n">
        <f aca="false">SUMPRODUCT((LEFT(Balance!$A$6:$A$75,3)="443")*Balance!G$6:G$75)+SUMPRODUCT((LEFT(Balance!$A$6:$A$75,3)="444")*Balance!G$6:G$75)+SUMPRODUCT((LEFT(Balance!$A$6:$A$75,3)="445")*Balance!G$6:G$75)</f>
        <v>1010300</v>
      </c>
      <c r="F45" s="36" t="n">
        <f aca="false">SUMPRODUCT((LEFT(Balance!$A$6:$A$75,3)="443")*Balance!H$6:H$75)+SUMPRODUCT((LEFT(Balance!$A$6:$A$75,3)="444")*Balance!H$6:H$75)+SUMPRODUCT((LEFT(Balance!$A$6:$A$75,3)="445")*Balance!H$6:H$75)</f>
        <v>757000</v>
      </c>
      <c r="G45" s="36" t="n">
        <f aca="false">SUMPRODUCT((LEFT(Balance!$A$6:$A$75,3)="443")*Balance!I$6:I$75)+SUMPRODUCT((LEFT(Balance!$A$6:$A$75,3)="444")*Balance!I$6:I$75)+SUMPRODUCT((LEFT(Balance!$A$6:$A$75,3)="445")*Balance!I$6:I$75)</f>
        <v>903100</v>
      </c>
      <c r="H45" s="36" t="n">
        <f aca="false">SUMPRODUCT((LEFT(Balance!$A$6:$A$75,3)="443")*Balance!J$6:J$75)+SUMPRODUCT((LEFT(Balance!$A$6:$A$75,3)="444")*Balance!J$6:J$75)+SUMPRODUCT((LEFT(Balance!$A$6:$A$75,3)="445")*Balance!J$6:J$75)</f>
        <v>1124800</v>
      </c>
      <c r="I45" s="36" t="n">
        <f aca="false">SUMPRODUCT((LEFT(Balance!$A$6:$A$75,3)="443")*Balance!K$6:K$75)+SUMPRODUCT((LEFT(Balance!$A$6:$A$75,3)="444")*Balance!K$6:K$75)+SUMPRODUCT((LEFT(Balance!$A$6:$A$75,3)="445")*Balance!K$6:K$75)</f>
        <v>772000</v>
      </c>
      <c r="J45" s="36" t="n">
        <f aca="false">SUMPRODUCT((LEFT(Balance!$A$6:$A$75,3)="443")*Balance!L$6:L$75)+SUMPRODUCT((LEFT(Balance!$A$6:$A$75,3)="444")*Balance!L$6:L$75)+SUMPRODUCT((LEFT(Balance!$A$6:$A$75,3)="445")*Balance!L$6:L$75)</f>
        <v>965100</v>
      </c>
      <c r="K45" s="36" t="n">
        <f aca="false">SUMPRODUCT((LEFT(Balance!$A$6:$A$75,3)="443")*Balance!M$6:M$75)+SUMPRODUCT((LEFT(Balance!$A$6:$A$75,3)="444")*Balance!M$6:M$75)+SUMPRODUCT((LEFT(Balance!$A$6:$A$75,3)="445")*Balance!M$6:M$75)</f>
        <v>973400</v>
      </c>
      <c r="L45" s="36" t="n">
        <f aca="false">SUMPRODUCT((LEFT(Balance!$A$6:$A$75,3)="443")*Balance!N$6:N$75)+SUMPRODUCT((LEFT(Balance!$A$6:$A$75,3)="444")*Balance!N$6:N$75)+SUMPRODUCT((LEFT(Balance!$A$6:$A$75,3)="445")*Balance!N$6:N$75)</f>
        <v>762000</v>
      </c>
      <c r="M45" s="36" t="n">
        <f aca="false">SUMPRODUCT((LEFT(Balance!$A$6:$A$75,3)="443")*Balance!O$6:O$75)+SUMPRODUCT((LEFT(Balance!$A$6:$A$75,3)="444")*Balance!O$6:O$75)+SUMPRODUCT((LEFT(Balance!$A$6:$A$75,3)="445")*Balance!O$6:O$75)</f>
        <v>1049800</v>
      </c>
      <c r="N45" s="36" t="n">
        <f aca="false">SUMPRODUCT((LEFT(Balance!$A$6:$A$75,3)="443")*Balance!P$6:P$75)+SUMPRODUCT((LEFT(Balance!$A$6:$A$75,3)="444")*Balance!P$6:P$75)+SUMPRODUCT((LEFT(Balance!$A$6:$A$75,3)="445")*Balance!P$6:P$75)</f>
        <v>1263300</v>
      </c>
      <c r="O45" s="36" t="n">
        <f aca="false">SUMPRODUCT((LEFT(Balance!$A$6:$A$75,3)="443")*Balance!Q$6:Q$75)+SUMPRODUCT((LEFT(Balance!$A$6:$A$75,3)="444")*Balance!Q$6:Q$75)+SUMPRODUCT((LEFT(Balance!$A$6:$A$75,3)="445")*Balance!Q$6:Q$75)</f>
        <v>837000</v>
      </c>
      <c r="P45" s="50" t="n">
        <f aca="false">O45</f>
        <v>837000</v>
      </c>
      <c r="Q45" s="51" t="n">
        <f aca="false">IFERROR(INDEX($D45:$O45,MATCH($C$4,$D$9:$O$9,0)),"–")</f>
        <v>837000</v>
      </c>
    </row>
    <row r="46" customFormat="false" ht="15" hidden="false" customHeight="false" outlineLevel="0" collapsed="false">
      <c r="A46" s="8" t="s">
        <v>413</v>
      </c>
      <c r="B46" s="35" t="s">
        <v>362</v>
      </c>
      <c r="C46" s="49"/>
      <c r="D46" s="36" t="n">
        <f aca="false">D40+D41-D42+D43-D44-D45</f>
        <v>21091300</v>
      </c>
      <c r="E46" s="36" t="n">
        <f aca="false">E40+E41-E42+E43-E44-E45</f>
        <v>22378700</v>
      </c>
      <c r="F46" s="36" t="n">
        <f aca="false">F40+F41-F42+F43-F44-F45</f>
        <v>22225000</v>
      </c>
      <c r="G46" s="36" t="n">
        <f aca="false">G40+G41-G42+G43-G44-G45</f>
        <v>22115900</v>
      </c>
      <c r="H46" s="36" t="n">
        <f aca="false">H40+H41-H42+H43-H44-H45</f>
        <v>20677200</v>
      </c>
      <c r="I46" s="36" t="n">
        <f aca="false">I40+I41-I42+I43-I44-I45</f>
        <v>23149000</v>
      </c>
      <c r="J46" s="36" t="n">
        <f aca="false">J40+J41-J42+J43-J44-J45</f>
        <v>21406900</v>
      </c>
      <c r="K46" s="36" t="n">
        <f aca="false">K40+K41-K42+K43-K44-K45</f>
        <v>20374600</v>
      </c>
      <c r="L46" s="36" t="n">
        <f aca="false">L40+L41-L42+L43-L44-L45</f>
        <v>22638000</v>
      </c>
      <c r="M46" s="36" t="n">
        <f aca="false">M40+M41-M42+M43-M44-M45</f>
        <v>21423200</v>
      </c>
      <c r="N46" s="36" t="n">
        <f aca="false">N40+N41-N42+N43-N44-N45</f>
        <v>22934700</v>
      </c>
      <c r="O46" s="36" t="n">
        <f aca="false">O40+O41-O42+O43-O44-O45</f>
        <v>21109000</v>
      </c>
      <c r="P46" s="50" t="n">
        <f aca="false">O46</f>
        <v>21109000</v>
      </c>
      <c r="Q46" s="51" t="n">
        <f aca="false">IFERROR(INDEX($D46:$O46,MATCH($C$4,$D$9:$O$9,0)),"–")</f>
        <v>21109000</v>
      </c>
    </row>
    <row r="47" customFormat="false" ht="15" hidden="false" customHeight="false" outlineLevel="0" collapsed="false">
      <c r="A47" s="8" t="s">
        <v>414</v>
      </c>
      <c r="B47" s="35" t="s">
        <v>415</v>
      </c>
      <c r="C47" s="49" t="s">
        <v>416</v>
      </c>
      <c r="D47" s="68" t="n">
        <f aca="false">IFERROR(D41/D11*30,0)</f>
        <v>60.4086687306502</v>
      </c>
      <c r="E47" s="68" t="n">
        <f aca="false">IFERROR(E41/E11*30,0)</f>
        <v>64.7041678810842</v>
      </c>
      <c r="F47" s="68" t="n">
        <f aca="false">IFERROR(F41/F11*30,0)</f>
        <v>61.2111553784861</v>
      </c>
      <c r="G47" s="68" t="n">
        <f aca="false">IFERROR(G41/G11*30,0)</f>
        <v>63.941728533408</v>
      </c>
      <c r="H47" s="68" t="n">
        <f aca="false">IFERROR(H41/H11*30,0)</f>
        <v>56.2509992006395</v>
      </c>
      <c r="I47" s="68" t="n">
        <f aca="false">IFERROR(I41/I11*30,0)</f>
        <v>63.7634546386468</v>
      </c>
      <c r="J47" s="68" t="n">
        <f aca="false">IFERROR(J41/J11*30,0)</f>
        <v>61.2849010571971</v>
      </c>
      <c r="K47" s="68" t="n">
        <f aca="false">IFERROR(K41/K11*30,0)</f>
        <v>57.8083109919571</v>
      </c>
      <c r="L47" s="68" t="n">
        <f aca="false">IFERROR(L41/L11*30,0)</f>
        <v>63.7403021641486</v>
      </c>
      <c r="M47" s="68" t="n">
        <f aca="false">IFERROR(M41/M11*30,0)</f>
        <v>57.7425893083355</v>
      </c>
      <c r="N47" s="68" t="n">
        <f aca="false">IFERROR(N41/N11*30,0)</f>
        <v>63.61510105504</v>
      </c>
      <c r="O47" s="68" t="n">
        <f aca="false">IFERROR(O41/O11*30,0)</f>
        <v>56.6277372262774</v>
      </c>
      <c r="P47" s="69" t="n">
        <f aca="false">IFERROR(O41/P11*360,0)</f>
        <v>63.4925831202046</v>
      </c>
      <c r="Q47" s="70" t="n">
        <f aca="false">IFERROR(INDEX($D47:$O47,MATCH($C$4,$D$9:$O$9,0)),"–")</f>
        <v>56.6277372262774</v>
      </c>
    </row>
    <row r="48" customFormat="false" ht="15" hidden="false" customHeight="false" outlineLevel="0" collapsed="false">
      <c r="A48" s="10" t="s">
        <v>417</v>
      </c>
      <c r="B48" s="35" t="s">
        <v>415</v>
      </c>
      <c r="C48" s="49" t="s">
        <v>418</v>
      </c>
      <c r="D48" s="68" t="n">
        <f aca="false">IFERROR(D44/(CPC!D16+CPC!D17+CPC!D18)*30,0)</f>
        <v>63.0566352026652</v>
      </c>
      <c r="E48" s="68" t="n">
        <f aca="false">IFERROR(E44/(CPC!E16+CPC!E17+CPC!E18)*30,0)</f>
        <v>60.2299703264095</v>
      </c>
      <c r="F48" s="68" t="n">
        <f aca="false">IFERROR(F44/(CPC!F16+CPC!F17+CPC!F18)*30,0)</f>
        <v>65.373241116146</v>
      </c>
      <c r="G48" s="68" t="n">
        <f aca="false">IFERROR(G44/(CPC!G16+CPC!G17+CPC!G18)*30,0)</f>
        <v>66.4557926829268</v>
      </c>
      <c r="H48" s="68" t="n">
        <f aca="false">IFERROR(H44/(CPC!H16+CPC!H17+CPC!H18)*30,0)</f>
        <v>62.7138047138047</v>
      </c>
      <c r="I48" s="68" t="n">
        <f aca="false">IFERROR(I44/(CPC!I16+CPC!I17+CPC!I18)*30,0)</f>
        <v>60.4570722668314</v>
      </c>
      <c r="J48" s="68" t="n">
        <f aca="false">IFERROR(J44/(CPC!J16+CPC!J17+CPC!J18)*30,0)</f>
        <v>70.4657794676806</v>
      </c>
      <c r="K48" s="68" t="n">
        <f aca="false">IFERROR(K44/(CPC!K16+CPC!K17+CPC!K18)*30,0)</f>
        <v>63.9713617767387</v>
      </c>
      <c r="L48" s="68" t="n">
        <f aca="false">IFERROR(L44/(CPC!L16+CPC!L17+CPC!L18)*30,0)</f>
        <v>67.3538840937115</v>
      </c>
      <c r="M48" s="68" t="n">
        <f aca="false">IFERROR(M44/(CPC!M16+CPC!M17+CPC!M18)*30,0)</f>
        <v>63.6956991571213</v>
      </c>
      <c r="N48" s="68" t="n">
        <f aca="false">IFERROR(N44/(CPC!N16+CPC!N17+CPC!N18)*30,0)</f>
        <v>66.7864547339323</v>
      </c>
      <c r="O48" s="68" t="n">
        <f aca="false">IFERROR(O44/(CPC!O16+CPC!O17+CPC!O18)*30,0)</f>
        <v>71.3003028991778</v>
      </c>
      <c r="P48" s="69" t="n">
        <f aca="false">IFERROR(O44/(CPC!P16+CPC!P17+CPC!P18)*360,0)</f>
        <v>78.5234899328859</v>
      </c>
      <c r="Q48" s="70" t="n">
        <f aca="false">IFERROR(INDEX($D48:$O48,MATCH($C$4,$D$9:$O$9,0)),"–")</f>
        <v>71.3003028991778</v>
      </c>
    </row>
    <row r="49" customFormat="false" ht="15" hidden="false" customHeight="false" outlineLevel="0" collapsed="false">
      <c r="A49" s="10" t="s">
        <v>419</v>
      </c>
      <c r="B49" s="35" t="s">
        <v>415</v>
      </c>
      <c r="C49" s="49" t="s">
        <v>420</v>
      </c>
      <c r="D49" s="68" t="n">
        <f aca="false">IFERROR(D40/D11*30,0)</f>
        <v>76.1238390092879</v>
      </c>
      <c r="E49" s="68" t="n">
        <f aca="false">IFERROR(E40/E11*30,0)</f>
        <v>72.6348003497523</v>
      </c>
      <c r="F49" s="68" t="n">
        <f aca="false">IFERROR(F40/F11*30,0)</f>
        <v>66.2470119521912</v>
      </c>
      <c r="G49" s="68" t="n">
        <f aca="false">IFERROR(G40/G11*30,0)</f>
        <v>69.0432833730214</v>
      </c>
      <c r="H49" s="68" t="n">
        <f aca="false">IFERROR(H40/H11*30,0)</f>
        <v>67.5379696243006</v>
      </c>
      <c r="I49" s="68" t="n">
        <f aca="false">IFERROR(I40/I11*30,0)</f>
        <v>65.439518195797</v>
      </c>
      <c r="J49" s="68" t="n">
        <f aca="false">IFERROR(J40/J11*30,0)</f>
        <v>69.6570886419084</v>
      </c>
      <c r="K49" s="68" t="n">
        <f aca="false">IFERROR(K40/K11*30,0)</f>
        <v>86.2047587131367</v>
      </c>
      <c r="L49" s="68" t="n">
        <f aca="false">IFERROR(L40/L11*30,0)</f>
        <v>68.8240097999183</v>
      </c>
      <c r="M49" s="68" t="n">
        <f aca="false">IFERROR(M40/M11*30,0)</f>
        <v>64.7390423106157</v>
      </c>
      <c r="N49" s="68" t="n">
        <f aca="false">IFERROR(N40/N11*30,0)</f>
        <v>65.2205415024787</v>
      </c>
      <c r="O49" s="68" t="n">
        <f aca="false">IFERROR(O40/O11*30,0)</f>
        <v>63.3686131386861</v>
      </c>
      <c r="P49" s="69" t="n">
        <f aca="false">IFERROR(O40/P11*360,0)</f>
        <v>71.0506393861893</v>
      </c>
      <c r="Q49" s="70" t="n">
        <f aca="false">IFERROR(INDEX($D49:$O49,MATCH($C$4,$D$9:$O$9,0)),"–")</f>
        <v>63.3686131386861</v>
      </c>
    </row>
    <row r="50" customFormat="false" ht="15" hidden="false" customHeight="false" outlineLevel="0" collapsed="false">
      <c r="A50" s="8" t="s">
        <v>421</v>
      </c>
      <c r="B50" s="35" t="s">
        <v>415</v>
      </c>
      <c r="C50" s="49" t="s">
        <v>422</v>
      </c>
      <c r="D50" s="68" t="n">
        <f aca="false">D47+D49-D48</f>
        <v>73.4758725372729</v>
      </c>
      <c r="E50" s="68" t="n">
        <f aca="false">E47+E49-E48</f>
        <v>77.108997904427</v>
      </c>
      <c r="F50" s="68" t="n">
        <f aca="false">F47+F49-F48</f>
        <v>62.0849262145313</v>
      </c>
      <c r="G50" s="68" t="n">
        <f aca="false">G47+G49-G48</f>
        <v>66.5292192235026</v>
      </c>
      <c r="H50" s="68" t="n">
        <f aca="false">H47+H49-H48</f>
        <v>61.0751641111353</v>
      </c>
      <c r="I50" s="68" t="n">
        <f aca="false">I47+I49-I48</f>
        <v>68.7459005676125</v>
      </c>
      <c r="J50" s="68" t="n">
        <f aca="false">J47+J49-J48</f>
        <v>60.4762102314249</v>
      </c>
      <c r="K50" s="68" t="n">
        <f aca="false">K47+K49-K48</f>
        <v>80.0417079283551</v>
      </c>
      <c r="L50" s="68" t="n">
        <f aca="false">L47+L49-L48</f>
        <v>65.2104278703555</v>
      </c>
      <c r="M50" s="68" t="n">
        <f aca="false">M47+M49-M48</f>
        <v>58.7859324618298</v>
      </c>
      <c r="N50" s="68" t="n">
        <f aca="false">N47+N49-N48</f>
        <v>62.0491878235865</v>
      </c>
      <c r="O50" s="68" t="n">
        <f aca="false">O47+O49-O48</f>
        <v>48.6960474657857</v>
      </c>
      <c r="P50" s="69" t="n">
        <f aca="false">P47+P49-P48</f>
        <v>56.019732573508</v>
      </c>
      <c r="Q50" s="70" t="n">
        <f aca="false">IFERROR(INDEX($D50:$O50,MATCH($C$4,$D$9:$O$9,0)),"–")</f>
        <v>48.6960474657857</v>
      </c>
    </row>
    <row r="52" customFormat="false" ht="15" hidden="false" customHeight="false" outlineLevel="0" collapsed="false">
      <c r="A52" s="43" t="s">
        <v>423</v>
      </c>
    </row>
    <row r="53" customFormat="false" ht="15" hidden="false" customHeight="false" outlineLevel="0" collapsed="false">
      <c r="A53" s="71" t="s">
        <v>424</v>
      </c>
      <c r="C53" s="41" t="s">
        <v>425</v>
      </c>
    </row>
    <row r="54" customFormat="false" ht="15" hidden="false" customHeight="false" outlineLevel="0" collapsed="false">
      <c r="A54" s="72" t="s">
        <v>426</v>
      </c>
    </row>
    <row r="55" customFormat="false" ht="15" hidden="false" customHeight="false" outlineLevel="0" collapsed="false">
      <c r="A55" s="73" t="s">
        <v>427</v>
      </c>
    </row>
    <row r="56" customFormat="false" ht="15" hidden="false" customHeight="false" outlineLevel="0" collapsed="false">
      <c r="A56" s="74" t="s">
        <v>428</v>
      </c>
    </row>
    <row r="57" customFormat="false" ht="15" hidden="false" customHeight="false" outlineLevel="0" collapsed="false">
      <c r="A57" s="75" t="s">
        <v>429</v>
      </c>
    </row>
  </sheetData>
  <conditionalFormatting sqref="D17:Q17">
    <cfRule type="expression" priority="2" aboveAverage="0" equalAverage="0" bottom="0" percent="0" rank="0" text="" dxfId="1">
      <formula>OR(ISNUMBER(SEARCH("Levier fort",D17)),ISNUMBER(SEARCH("résiste",D17)),ISNUMBER(SEARCH("progresse",D17)))</formula>
    </cfRule>
    <cfRule type="expression" priority="3" aboveAverage="0" equalAverage="0" bottom="0" percent="0" rank="0" text="" dxfId="2">
      <formula>ISNUMBER(SEARCH("Proportionnel",D17))</formula>
    </cfRule>
    <cfRule type="expression" priority="4" aboveAverage="0" equalAverage="0" bottom="0" percent="0" rank="0" text="" dxfId="3">
      <formula>ISNUMBER(SEARCH("érodée",D17))</formula>
    </cfRule>
    <cfRule type="expression" priority="5" aboveAverage="0" equalAverage="0" bottom="0" percent="0" rank="0" text="" dxfId="0">
      <formula>OR(ISNUMBER(SEARCH("contraire",D17)),ISNUMBER(SEARCH("chute",D17)))</formula>
    </cfRule>
    <cfRule type="expression" priority="6" aboveAverage="0" equalAverage="0" bottom="0" percent="0" rank="0" text="" dxfId="4">
      <formula>D17="n.s."</formula>
    </cfRule>
  </conditionalFormatting>
  <conditionalFormatting sqref="D15:Q15">
    <cfRule type="expression" priority="7" aboveAverage="0" equalAverage="0" bottom="0" percent="0" rank="0" text="" dxfId="1">
      <formula>AND(ISNUMBER(D15),D15&gt;=0.1)</formula>
    </cfRule>
    <cfRule type="expression" priority="8" aboveAverage="0" equalAverage="0" bottom="0" percent="0" rank="0" text="" dxfId="3">
      <formula>AND(ISNUMBER(D15),AND(D15&gt;=0.05,D15&lt;0.1))</formula>
    </cfRule>
    <cfRule type="expression" priority="9" aboveAverage="0" equalAverage="0" bottom="0" percent="0" rank="0" text="" dxfId="0">
      <formula>AND(ISNUMBER(D15),D15&lt;0.05)</formula>
    </cfRule>
  </conditionalFormatting>
  <conditionalFormatting sqref="D23:Q23">
    <cfRule type="expression" priority="10" aboveAverage="0" equalAverage="0" bottom="0" percent="0" rank="0" text="" dxfId="1">
      <formula>AND(ISNUMBER(D23),D23&gt;=0.05)</formula>
    </cfRule>
    <cfRule type="expression" priority="11" aboveAverage="0" equalAverage="0" bottom="0" percent="0" rank="0" text="" dxfId="3">
      <formula>AND(ISNUMBER(D23),AND(D23&gt;=0,D23&lt;0.05))</formula>
    </cfRule>
    <cfRule type="expression" priority="12" aboveAverage="0" equalAverage="0" bottom="0" percent="0" rank="0" text="" dxfId="0">
      <formula>AND(ISNUMBER(D23),D23&lt;0)</formula>
    </cfRule>
  </conditionalFormatting>
  <conditionalFormatting sqref="D47:Q47">
    <cfRule type="expression" priority="13" aboveAverage="0" equalAverage="0" bottom="0" percent="0" rank="0" text="" dxfId="1">
      <formula>AND(ISNUMBER(D47),D47&lt;=65)</formula>
    </cfRule>
    <cfRule type="expression" priority="14" aboveAverage="0" equalAverage="0" bottom="0" percent="0" rank="0" text="" dxfId="3">
      <formula>AND(ISNUMBER(D47),AND(D47&gt;65,D47&lt;=75))</formula>
    </cfRule>
    <cfRule type="expression" priority="15" aboveAverage="0" equalAverage="0" bottom="0" percent="0" rank="0" text="" dxfId="0">
      <formula>AND(ISNUMBER(D47),D47&gt;75)</formula>
    </cfRule>
  </conditionalFormatting>
  <conditionalFormatting sqref="D32:Q32">
    <cfRule type="expression" priority="16" aboveAverage="0" equalAverage="0" bottom="0" percent="0" rank="0" text="" dxfId="1">
      <formula>AND(ISNUMBER(D32),D32&lt;0.65)</formula>
    </cfRule>
    <cfRule type="expression" priority="17" aboveAverage="0" equalAverage="0" bottom="0" percent="0" rank="0" text="" dxfId="3">
      <formula>AND(ISNUMBER(D32),AND(D32&gt;=0.65,D32&lt;=0.8))</formula>
    </cfRule>
    <cfRule type="expression" priority="18" aboveAverage="0" equalAverage="0" bottom="0" percent="0" rank="0" text="" dxfId="0">
      <formula>AND(ISNUMBER(D32),D32&gt;0.8)</formula>
    </cfRule>
  </conditionalFormatting>
  <conditionalFormatting sqref="D35:Q35">
    <cfRule type="expression" priority="19" aboveAverage="0" equalAverage="0" bottom="0" percent="0" rank="0" text="" dxfId="1">
      <formula>AND(ISNUMBER(D35),ABS(D35)&lt;0.1)</formula>
    </cfRule>
    <cfRule type="expression" priority="20" aboveAverage="0" equalAverage="0" bottom="0" percent="0" rank="0" text="" dxfId="3">
      <formula>AND(ISNUMBER(D35),AND(ABS(D35)&gt;=0.1,ABS(D35)&lt;=0.2))</formula>
    </cfRule>
    <cfRule type="expression" priority="21" aboveAverage="0" equalAverage="0" bottom="0" percent="0" rank="0" text="" dxfId="0">
      <formula>AND(ISNUMBER(D35),ABS(D35)&gt;0.2)</formula>
    </cfRule>
  </conditionalFormatting>
  <conditionalFormatting sqref="D10:O50">
    <cfRule type="expression" priority="22" aboveAverage="0" equalAverage="0" bottom="0" percent="0" rank="0" text="" dxfId="5">
      <formula>D$9=$C$4</formula>
    </cfRule>
  </conditionalFormatting>
  <conditionalFormatting sqref="D9:O9">
    <cfRule type="expression" priority="23" aboveAverage="0" equalAverage="0" bottom="0" percent="0" rank="0" text="" dxfId="6">
      <formula>D$9=$C$4</formula>
    </cfRule>
  </conditionalFormatting>
  <dataValidations count="1">
    <dataValidation allowBlank="false" error="Choisissez un mois dans la liste." errorStyle="stop" errorTitle="Mois invalide" operator="between" prompt="Sélectionnez le mois à analyser" promptTitle="Sélecteur de mois" showDropDown="false" showErrorMessage="false" showInputMessage="false" sqref="C4" type="list">
      <formula1>"Janvier,Février,Mars,Avril,Mai,Juin,Juillet,Août,Septembre,Octobre,Novembre,Décembre"</formula1>
      <formula2>0</formula2>
    </dataValidation>
  </dataValidations>
  <hyperlinks>
    <hyperlink ref="Q1" location="Accueil!A1" display="⌂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1E2C"/>
    <pageSetUpPr fitToPage="true"/>
  </sheetPr>
  <dimension ref="A1:T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0" min="2" style="0" width="8.61"/>
  </cols>
  <sheetData>
    <row r="1" customFormat="false" ht="30" hidden="false" customHeight="true" outlineLevel="0" collapsed="false">
      <c r="A1" s="16" t="s">
        <v>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7" t="s">
        <v>46</v>
      </c>
    </row>
    <row r="2" customFormat="false" ht="15" hidden="false" customHeight="false" outlineLevel="0" collapsed="false">
      <c r="A2" s="18" t="s">
        <v>431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customFormat="false" ht="15" hidden="false" customHeight="false" outlineLevel="0" collapsed="false">
      <c r="B4" s="43" t="s">
        <v>432</v>
      </c>
      <c r="D4" s="76" t="s">
        <v>42</v>
      </c>
      <c r="E4" s="76"/>
      <c r="F4" s="41" t="s">
        <v>433</v>
      </c>
    </row>
    <row r="6" customFormat="false" ht="15" hidden="false" customHeight="false" outlineLevel="0" collapsed="false">
      <c r="B6" s="77" t="s">
        <v>434</v>
      </c>
      <c r="C6" s="77"/>
      <c r="D6" s="77"/>
      <c r="E6" s="77"/>
      <c r="G6" s="77" t="s">
        <v>435</v>
      </c>
      <c r="H6" s="77"/>
      <c r="I6" s="77"/>
      <c r="J6" s="77"/>
      <c r="L6" s="77" t="s">
        <v>436</v>
      </c>
      <c r="M6" s="77"/>
      <c r="N6" s="77"/>
      <c r="O6" s="77"/>
      <c r="Q6" s="77" t="s">
        <v>437</v>
      </c>
      <c r="R6" s="77"/>
      <c r="S6" s="77"/>
      <c r="T6" s="77"/>
    </row>
    <row r="7" customFormat="false" ht="19.5" hidden="false" customHeight="true" outlineLevel="0" collapsed="false">
      <c r="B7" s="78" t="n">
        <f aca="false">IFERROR(VLOOKUP($D$4,$B$53:$M$64,2,FALSE()),"–")</f>
        <v>8220000</v>
      </c>
      <c r="C7" s="78"/>
      <c r="D7" s="78"/>
      <c r="E7" s="78"/>
      <c r="G7" s="79" t="n">
        <f aca="false">IFERROR(VLOOKUP($D$4,$B$53:$M$64,6,FALSE()),"–")</f>
        <v>56.6277372262774</v>
      </c>
      <c r="H7" s="79"/>
      <c r="I7" s="79"/>
      <c r="J7" s="79"/>
      <c r="L7" s="79" t="n">
        <f aca="false">IFERROR(VLOOKUP($D$4,$B$53:$M$64,7,FALSE()),"–")</f>
        <v>71.3003028991778</v>
      </c>
      <c r="M7" s="79"/>
      <c r="N7" s="79"/>
      <c r="O7" s="79"/>
      <c r="Q7" s="80" t="n">
        <f aca="false">IFERROR(VLOOKUP($D$4,$B$53:$M$64,8,FALSE()),"–")</f>
        <v>0.0944961045488817</v>
      </c>
      <c r="R7" s="80"/>
      <c r="S7" s="80"/>
      <c r="T7" s="80"/>
    </row>
    <row r="8" customFormat="false" ht="19.5" hidden="false" customHeight="true" outlineLevel="0" collapsed="false">
      <c r="B8" s="78"/>
      <c r="C8" s="78"/>
      <c r="D8" s="78"/>
      <c r="E8" s="78"/>
      <c r="G8" s="79"/>
      <c r="H8" s="79"/>
      <c r="I8" s="79"/>
      <c r="J8" s="79"/>
      <c r="L8" s="79"/>
      <c r="M8" s="79"/>
      <c r="N8" s="79"/>
      <c r="O8" s="79"/>
      <c r="Q8" s="80"/>
      <c r="R8" s="80"/>
      <c r="S8" s="80"/>
      <c r="T8" s="80"/>
    </row>
    <row r="9" customFormat="false" ht="15" hidden="false" customHeight="false" outlineLevel="0" collapsed="false">
      <c r="B9" s="81" t="s">
        <v>438</v>
      </c>
      <c r="C9" s="81"/>
      <c r="D9" s="82" t="n">
        <f aca="false">IFERROR(VLOOKUP($D$4,$B$53:$M$64,9,FALSE()),"–")</f>
        <v>0.13838199513382</v>
      </c>
      <c r="E9" s="82"/>
      <c r="G9" s="81" t="s">
        <v>358</v>
      </c>
      <c r="H9" s="81"/>
      <c r="I9" s="83" t="s">
        <v>416</v>
      </c>
      <c r="J9" s="83"/>
      <c r="L9" s="81" t="s">
        <v>439</v>
      </c>
      <c r="M9" s="81"/>
      <c r="N9" s="84" t="n">
        <f aca="false">IFERROR(VLOOKUP($D$4,$B$53:$M$64,10,FALSE()),"–")</f>
        <v>48.6960474657857</v>
      </c>
      <c r="O9" s="84"/>
      <c r="Q9" s="81" t="s">
        <v>440</v>
      </c>
      <c r="R9" s="81"/>
      <c r="S9" s="85" t="n">
        <f aca="false">IFERROR(VLOOKUP($D$4,$B$53:$M$64,3,FALSE()),"–")</f>
        <v>871000</v>
      </c>
      <c r="T9" s="85"/>
    </row>
    <row r="47" customFormat="false" ht="15" hidden="false" customHeight="false" outlineLevel="0" collapsed="false">
      <c r="B47" s="41" t="s">
        <v>441</v>
      </c>
    </row>
    <row r="51" customFormat="false" ht="15" hidden="false" customHeight="false" outlineLevel="0" collapsed="false">
      <c r="B51" s="41" t="s">
        <v>442</v>
      </c>
    </row>
    <row r="52" customFormat="false" ht="25.5" hidden="false" customHeight="true" outlineLevel="0" collapsed="false">
      <c r="B52" s="86" t="s">
        <v>443</v>
      </c>
      <c r="C52" s="86" t="s">
        <v>444</v>
      </c>
      <c r="D52" s="86" t="s">
        <v>380</v>
      </c>
      <c r="E52" s="86" t="s">
        <v>394</v>
      </c>
      <c r="F52" s="86" t="s">
        <v>445</v>
      </c>
      <c r="G52" s="86" t="s">
        <v>446</v>
      </c>
      <c r="H52" s="86" t="s">
        <v>447</v>
      </c>
      <c r="I52" s="86" t="s">
        <v>448</v>
      </c>
      <c r="J52" s="86" t="s">
        <v>449</v>
      </c>
      <c r="K52" s="86" t="s">
        <v>450</v>
      </c>
      <c r="L52" s="86" t="s">
        <v>451</v>
      </c>
      <c r="M52" s="86" t="s">
        <v>452</v>
      </c>
    </row>
    <row r="53" customFormat="false" ht="15" hidden="false" customHeight="false" outlineLevel="0" collapsed="false">
      <c r="B53" s="87" t="s">
        <v>55</v>
      </c>
      <c r="C53" s="88" t="n">
        <f aca="false">Reporting!D11</f>
        <v>6460000</v>
      </c>
      <c r="D53" s="88" t="n">
        <f aca="false">Reporting!D21</f>
        <v>374800</v>
      </c>
      <c r="E53" s="88" t="n">
        <f aca="false">Reporting!D30</f>
        <v>2759000</v>
      </c>
      <c r="F53" s="88" t="n">
        <f aca="false">Reporting!D13</f>
        <v>547500</v>
      </c>
      <c r="G53" s="89" t="n">
        <f aca="false">Reporting!D47</f>
        <v>60.4086687306502</v>
      </c>
      <c r="H53" s="89" t="n">
        <f aca="false">Reporting!D48</f>
        <v>63.0566352026652</v>
      </c>
      <c r="I53" s="90" t="n">
        <f aca="false">Reporting!D23</f>
        <v>0.0851187029530978</v>
      </c>
      <c r="J53" s="91" t="n">
        <f aca="false">Reporting!D15</f>
        <v>0.0847523219814241</v>
      </c>
      <c r="K53" s="89" t="n">
        <f aca="false">Reporting!D50</f>
        <v>73.4758725372729</v>
      </c>
      <c r="L53" s="88" t="n">
        <f aca="false">IF(B53=$D$4,0,C53)</f>
        <v>6460000</v>
      </c>
      <c r="M53" s="88" t="n">
        <f aca="false">IF(B53=$D$4,C53,0)</f>
        <v>0</v>
      </c>
    </row>
    <row r="54" customFormat="false" ht="15" hidden="false" customHeight="false" outlineLevel="0" collapsed="false">
      <c r="B54" s="87" t="s">
        <v>56</v>
      </c>
      <c r="C54" s="88" t="n">
        <f aca="false">Reporting!E11</f>
        <v>6862000</v>
      </c>
      <c r="D54" s="88" t="n">
        <f aca="false">Reporting!E21</f>
        <v>738200</v>
      </c>
      <c r="E54" s="88" t="n">
        <f aca="false">Reporting!E30</f>
        <v>3165000</v>
      </c>
      <c r="F54" s="88" t="n">
        <f aca="false">Reporting!E13</f>
        <v>946500</v>
      </c>
      <c r="G54" s="89" t="n">
        <f aca="false">Reporting!E47</f>
        <v>64.7041678810842</v>
      </c>
      <c r="H54" s="89" t="n">
        <f aca="false">Reporting!E48</f>
        <v>60.2299703264095</v>
      </c>
      <c r="I54" s="90" t="n">
        <f aca="false">Reporting!E23</f>
        <v>0.0712523581483093</v>
      </c>
      <c r="J54" s="91" t="n">
        <f aca="false">Reporting!E15</f>
        <v>0.137933547070825</v>
      </c>
      <c r="K54" s="89" t="n">
        <f aca="false">Reporting!E50</f>
        <v>77.108997904427</v>
      </c>
      <c r="L54" s="88" t="n">
        <f aca="false">IF(B54=$D$4,0,C54)</f>
        <v>6862000</v>
      </c>
      <c r="M54" s="88" t="n">
        <f aca="false">IF(B54=$D$4,C54,0)</f>
        <v>0</v>
      </c>
    </row>
    <row r="55" customFormat="false" ht="15" hidden="false" customHeight="false" outlineLevel="0" collapsed="false">
      <c r="B55" s="87" t="s">
        <v>57</v>
      </c>
      <c r="C55" s="88" t="n">
        <f aca="false">Reporting!F11</f>
        <v>7530000</v>
      </c>
      <c r="D55" s="88" t="n">
        <f aca="false">Reporting!F21</f>
        <v>794500</v>
      </c>
      <c r="E55" s="88" t="n">
        <f aca="false">Reporting!F30</f>
        <v>3278000</v>
      </c>
      <c r="F55" s="88" t="n">
        <f aca="false">Reporting!F13</f>
        <v>1051500</v>
      </c>
      <c r="G55" s="89" t="n">
        <f aca="false">Reporting!F47</f>
        <v>61.2111553784861</v>
      </c>
      <c r="H55" s="89" t="n">
        <f aca="false">Reporting!F48</f>
        <v>65.373241116146</v>
      </c>
      <c r="I55" s="90" t="n">
        <f aca="false">Reporting!F23</f>
        <v>0.0861244019138756</v>
      </c>
      <c r="J55" s="91" t="n">
        <f aca="false">Reporting!F15</f>
        <v>0.139641434262948</v>
      </c>
      <c r="K55" s="89" t="n">
        <f aca="false">Reporting!F50</f>
        <v>62.0849262145313</v>
      </c>
      <c r="L55" s="88" t="n">
        <f aca="false">IF(B55=$D$4,0,C55)</f>
        <v>7530000</v>
      </c>
      <c r="M55" s="88" t="n">
        <f aca="false">IF(B55=$D$4,C55,0)</f>
        <v>0</v>
      </c>
    </row>
    <row r="56" customFormat="false" ht="15" hidden="false" customHeight="false" outlineLevel="0" collapsed="false">
      <c r="B56" s="87" t="s">
        <v>58</v>
      </c>
      <c r="C56" s="88" t="n">
        <f aca="false">Reporting!G11</f>
        <v>7139000</v>
      </c>
      <c r="D56" s="88" t="n">
        <f aca="false">Reporting!G21</f>
        <v>628300</v>
      </c>
      <c r="E56" s="88" t="n">
        <f aca="false">Reporting!G30</f>
        <v>3049000</v>
      </c>
      <c r="F56" s="88" t="n">
        <f aca="false">Reporting!G13</f>
        <v>815500</v>
      </c>
      <c r="G56" s="89" t="n">
        <f aca="false">Reporting!G47</f>
        <v>63.941728533408</v>
      </c>
      <c r="H56" s="89" t="n">
        <f aca="false">Reporting!G48</f>
        <v>66.4557926829268</v>
      </c>
      <c r="I56" s="90" t="n">
        <f aca="false">Reporting!G23</f>
        <v>0.0847720994475139</v>
      </c>
      <c r="J56" s="91" t="n">
        <f aca="false">Reporting!G15</f>
        <v>0.114231685109959</v>
      </c>
      <c r="K56" s="89" t="n">
        <f aca="false">Reporting!G50</f>
        <v>66.5292192235026</v>
      </c>
      <c r="L56" s="88" t="n">
        <f aca="false">IF(B56=$D$4,0,C56)</f>
        <v>7139000</v>
      </c>
      <c r="M56" s="88" t="n">
        <f aca="false">IF(B56=$D$4,C56,0)</f>
        <v>0</v>
      </c>
    </row>
    <row r="57" customFormat="false" ht="15" hidden="false" customHeight="false" outlineLevel="0" collapsed="false">
      <c r="B57" s="87" t="s">
        <v>59</v>
      </c>
      <c r="C57" s="88" t="n">
        <f aca="false">Reporting!H11</f>
        <v>7506000</v>
      </c>
      <c r="D57" s="88" t="n">
        <f aca="false">Reporting!H21</f>
        <v>835000</v>
      </c>
      <c r="E57" s="88" t="n">
        <f aca="false">Reporting!H30</f>
        <v>3357000</v>
      </c>
      <c r="F57" s="88" t="n">
        <f aca="false">Reporting!H13</f>
        <v>1101500</v>
      </c>
      <c r="G57" s="89" t="n">
        <f aca="false">Reporting!H47</f>
        <v>56.2509992006395</v>
      </c>
      <c r="H57" s="89" t="n">
        <f aca="false">Reporting!H48</f>
        <v>62.7138047138047</v>
      </c>
      <c r="I57" s="90" t="n">
        <f aca="false">Reporting!H23</f>
        <v>0.0544260638969567</v>
      </c>
      <c r="J57" s="91" t="n">
        <f aca="false">Reporting!H15</f>
        <v>0.146749267252864</v>
      </c>
      <c r="K57" s="89" t="n">
        <f aca="false">Reporting!H50</f>
        <v>61.0751641111353</v>
      </c>
      <c r="L57" s="88" t="n">
        <f aca="false">IF(B57=$D$4,0,C57)</f>
        <v>7506000</v>
      </c>
      <c r="M57" s="88" t="n">
        <f aca="false">IF(B57=$D$4,C57,0)</f>
        <v>0</v>
      </c>
    </row>
    <row r="58" customFormat="false" ht="15" hidden="false" customHeight="false" outlineLevel="0" collapsed="false">
      <c r="B58" s="87" t="s">
        <v>60</v>
      </c>
      <c r="C58" s="88" t="n">
        <f aca="false">Reporting!I11</f>
        <v>7804000</v>
      </c>
      <c r="D58" s="88" t="n">
        <f aca="false">Reporting!I21</f>
        <v>536800</v>
      </c>
      <c r="E58" s="88" t="n">
        <f aca="false">Reporting!I30</f>
        <v>3082000</v>
      </c>
      <c r="F58" s="88" t="n">
        <f aca="false">Reporting!I13</f>
        <v>758500</v>
      </c>
      <c r="G58" s="89" t="n">
        <f aca="false">Reporting!I47</f>
        <v>63.7634546386468</v>
      </c>
      <c r="H58" s="89" t="n">
        <f aca="false">Reporting!I48</f>
        <v>60.4570722668314</v>
      </c>
      <c r="I58" s="90" t="n">
        <f aca="false">Reporting!I23</f>
        <v>0.0864197530864197</v>
      </c>
      <c r="J58" s="91" t="n">
        <f aca="false">Reporting!I15</f>
        <v>0.0971937467965146</v>
      </c>
      <c r="K58" s="89" t="n">
        <f aca="false">Reporting!I50</f>
        <v>68.7459005676125</v>
      </c>
      <c r="L58" s="88" t="n">
        <f aca="false">IF(B58=$D$4,0,C58)</f>
        <v>7804000</v>
      </c>
      <c r="M58" s="88" t="n">
        <f aca="false">IF(B58=$D$4,C58,0)</f>
        <v>0</v>
      </c>
    </row>
    <row r="59" customFormat="false" ht="15" hidden="false" customHeight="false" outlineLevel="0" collapsed="false">
      <c r="B59" s="87" t="s">
        <v>61</v>
      </c>
      <c r="C59" s="88" t="n">
        <f aca="false">Reporting!J11</f>
        <v>7378000</v>
      </c>
      <c r="D59" s="88" t="n">
        <f aca="false">Reporting!J21</f>
        <v>820200</v>
      </c>
      <c r="E59" s="88" t="n">
        <f aca="false">Reporting!J30</f>
        <v>3302000</v>
      </c>
      <c r="F59" s="88" t="n">
        <f aca="false">Reporting!J13</f>
        <v>1031500</v>
      </c>
      <c r="G59" s="89" t="n">
        <f aca="false">Reporting!J47</f>
        <v>61.2849010571971</v>
      </c>
      <c r="H59" s="89" t="n">
        <f aca="false">Reporting!J48</f>
        <v>70.4657794676806</v>
      </c>
      <c r="I59" s="90" t="n">
        <f aca="false">Reporting!J23</f>
        <v>0.0826293558606124</v>
      </c>
      <c r="J59" s="91" t="n">
        <f aca="false">Reporting!J15</f>
        <v>0.139807535917593</v>
      </c>
      <c r="K59" s="89" t="n">
        <f aca="false">Reporting!J50</f>
        <v>60.4762102314249</v>
      </c>
      <c r="L59" s="88" t="n">
        <f aca="false">IF(B59=$D$4,0,C59)</f>
        <v>7378000</v>
      </c>
      <c r="M59" s="88" t="n">
        <f aca="false">IF(B59=$D$4,C59,0)</f>
        <v>0</v>
      </c>
    </row>
    <row r="60" customFormat="false" ht="15" hidden="false" customHeight="false" outlineLevel="0" collapsed="false">
      <c r="B60" s="87" t="s">
        <v>62</v>
      </c>
      <c r="C60" s="88" t="n">
        <f aca="false">Reporting!K11</f>
        <v>5968000</v>
      </c>
      <c r="D60" s="88" t="n">
        <f aca="false">Reporting!K21</f>
        <v>213300</v>
      </c>
      <c r="E60" s="88" t="n">
        <f aca="false">Reporting!K30</f>
        <v>2609000</v>
      </c>
      <c r="F60" s="88" t="n">
        <f aca="false">Reporting!K13</f>
        <v>330500</v>
      </c>
      <c r="G60" s="89" t="n">
        <f aca="false">Reporting!K47</f>
        <v>57.8083109919571</v>
      </c>
      <c r="H60" s="89" t="n">
        <f aca="false">Reporting!K48</f>
        <v>63.9713617767387</v>
      </c>
      <c r="I60" s="90" t="n">
        <f aca="false">Reporting!K23</f>
        <v>0.0921658986175116</v>
      </c>
      <c r="J60" s="91" t="n">
        <f aca="false">Reporting!K15</f>
        <v>0.0553786863270778</v>
      </c>
      <c r="K60" s="89" t="n">
        <f aca="false">Reporting!K50</f>
        <v>80.0417079283551</v>
      </c>
      <c r="L60" s="88" t="n">
        <f aca="false">IF(B60=$D$4,0,C60)</f>
        <v>5968000</v>
      </c>
      <c r="M60" s="88" t="n">
        <f aca="false">IF(B60=$D$4,C60,0)</f>
        <v>0</v>
      </c>
    </row>
    <row r="61" customFormat="false" ht="15" hidden="false" customHeight="false" outlineLevel="0" collapsed="false">
      <c r="B61" s="87" t="s">
        <v>63</v>
      </c>
      <c r="C61" s="88" t="n">
        <f aca="false">Reporting!L11</f>
        <v>7347000</v>
      </c>
      <c r="D61" s="88" t="n">
        <f aca="false">Reporting!L21</f>
        <v>680700</v>
      </c>
      <c r="E61" s="88" t="n">
        <f aca="false">Reporting!L30</f>
        <v>3157000</v>
      </c>
      <c r="F61" s="88" t="n">
        <f aca="false">Reporting!L13</f>
        <v>871500</v>
      </c>
      <c r="G61" s="89" t="n">
        <f aca="false">Reporting!L47</f>
        <v>63.7403021641486</v>
      </c>
      <c r="H61" s="89" t="n">
        <f aca="false">Reporting!L48</f>
        <v>67.3538840937115</v>
      </c>
      <c r="I61" s="90" t="n">
        <f aca="false">Reporting!L23</f>
        <v>0.0885974732128578</v>
      </c>
      <c r="J61" s="91" t="n">
        <f aca="false">Reporting!L15</f>
        <v>0.118619844834626</v>
      </c>
      <c r="K61" s="89" t="n">
        <f aca="false">Reporting!L50</f>
        <v>65.2104278703555</v>
      </c>
      <c r="L61" s="88" t="n">
        <f aca="false">IF(B61=$D$4,0,C61)</f>
        <v>7347000</v>
      </c>
      <c r="M61" s="88" t="n">
        <f aca="false">IF(B61=$D$4,C61,0)</f>
        <v>0</v>
      </c>
    </row>
    <row r="62" customFormat="false" ht="15" hidden="false" customHeight="false" outlineLevel="0" collapsed="false">
      <c r="B62" s="87" t="s">
        <v>64</v>
      </c>
      <c r="C62" s="88" t="n">
        <f aca="false">Reporting!M11</f>
        <v>7894000</v>
      </c>
      <c r="D62" s="88" t="n">
        <f aca="false">Reporting!M21</f>
        <v>1067400</v>
      </c>
      <c r="E62" s="88" t="n">
        <f aca="false">Reporting!M30</f>
        <v>3681000</v>
      </c>
      <c r="F62" s="88" t="n">
        <f aca="false">Reporting!M13</f>
        <v>1387500</v>
      </c>
      <c r="G62" s="89" t="n">
        <f aca="false">Reporting!M47</f>
        <v>57.7425893083355</v>
      </c>
      <c r="H62" s="89" t="n">
        <f aca="false">Reporting!M48</f>
        <v>63.6956991571213</v>
      </c>
      <c r="I62" s="90" t="n">
        <f aca="false">Reporting!M23</f>
        <v>0.0558907903848056</v>
      </c>
      <c r="J62" s="91" t="n">
        <f aca="false">Reporting!M15</f>
        <v>0.175766404864454</v>
      </c>
      <c r="K62" s="89" t="n">
        <f aca="false">Reporting!M50</f>
        <v>58.7859324618298</v>
      </c>
      <c r="L62" s="88" t="n">
        <f aca="false">IF(B62=$D$4,0,C62)</f>
        <v>7894000</v>
      </c>
      <c r="M62" s="88" t="n">
        <f aca="false">IF(B62=$D$4,C62,0)</f>
        <v>0</v>
      </c>
    </row>
    <row r="63" customFormat="false" ht="15" hidden="false" customHeight="false" outlineLevel="0" collapsed="false">
      <c r="B63" s="87" t="s">
        <v>65</v>
      </c>
      <c r="C63" s="88" t="n">
        <f aca="false">Reporting!N11</f>
        <v>7867000</v>
      </c>
      <c r="D63" s="88" t="n">
        <f aca="false">Reporting!N21</f>
        <v>850000</v>
      </c>
      <c r="E63" s="88" t="n">
        <f aca="false">Reporting!N30</f>
        <v>3405000</v>
      </c>
      <c r="F63" s="88" t="n">
        <f aca="false">Reporting!N13</f>
        <v>1112500</v>
      </c>
      <c r="G63" s="89" t="n">
        <f aca="false">Reporting!N47</f>
        <v>63.61510105504</v>
      </c>
      <c r="H63" s="89" t="n">
        <f aca="false">Reporting!N48</f>
        <v>66.7864547339323</v>
      </c>
      <c r="I63" s="90" t="n">
        <f aca="false">Reporting!N23</f>
        <v>0.0534143016482835</v>
      </c>
      <c r="J63" s="91" t="n">
        <f aca="false">Reporting!N15</f>
        <v>0.14141349942799</v>
      </c>
      <c r="K63" s="89" t="n">
        <f aca="false">Reporting!N50</f>
        <v>62.0491878235865</v>
      </c>
      <c r="L63" s="88" t="n">
        <f aca="false">IF(B63=$D$4,0,C63)</f>
        <v>7867000</v>
      </c>
      <c r="M63" s="88" t="n">
        <f aca="false">IF(B63=$D$4,C63,0)</f>
        <v>0</v>
      </c>
    </row>
    <row r="64" customFormat="false" ht="15" hidden="false" customHeight="false" outlineLevel="0" collapsed="false">
      <c r="B64" s="87" t="s">
        <v>42</v>
      </c>
      <c r="C64" s="88" t="n">
        <f aca="false">Reporting!O11</f>
        <v>8220000</v>
      </c>
      <c r="D64" s="88" t="n">
        <f aca="false">Reporting!O21</f>
        <v>871000</v>
      </c>
      <c r="E64" s="88" t="n">
        <f aca="false">Reporting!O30</f>
        <v>3662000</v>
      </c>
      <c r="F64" s="88" t="n">
        <f aca="false">Reporting!O13</f>
        <v>1137500</v>
      </c>
      <c r="G64" s="89" t="n">
        <f aca="false">Reporting!O47</f>
        <v>56.6277372262774</v>
      </c>
      <c r="H64" s="89" t="n">
        <f aca="false">Reporting!O48</f>
        <v>71.3003028991778</v>
      </c>
      <c r="I64" s="90" t="n">
        <f aca="false">Reporting!O23</f>
        <v>0.0944961045488817</v>
      </c>
      <c r="J64" s="91" t="n">
        <f aca="false">Reporting!O15</f>
        <v>0.13838199513382</v>
      </c>
      <c r="K64" s="89" t="n">
        <f aca="false">Reporting!O50</f>
        <v>48.6960474657857</v>
      </c>
      <c r="L64" s="88" t="n">
        <f aca="false">IF(B64=$D$4,0,C64)</f>
        <v>0</v>
      </c>
      <c r="M64" s="88" t="n">
        <f aca="false">IF(B64=$D$4,C64,0)</f>
        <v>8220000</v>
      </c>
    </row>
  </sheetData>
  <mergeCells count="17">
    <mergeCell ref="D4:E4"/>
    <mergeCell ref="B6:E6"/>
    <mergeCell ref="G6:J6"/>
    <mergeCell ref="L6:O6"/>
    <mergeCell ref="Q6:T6"/>
    <mergeCell ref="B7:E8"/>
    <mergeCell ref="G7:J8"/>
    <mergeCell ref="L7:O8"/>
    <mergeCell ref="Q7:T8"/>
    <mergeCell ref="B9:C9"/>
    <mergeCell ref="D9:E9"/>
    <mergeCell ref="G9:H9"/>
    <mergeCell ref="I9:J9"/>
    <mergeCell ref="L9:M9"/>
    <mergeCell ref="N9:O9"/>
    <mergeCell ref="Q9:R9"/>
    <mergeCell ref="S9:T9"/>
  </mergeCells>
  <dataValidations count="1">
    <dataValidation allowBlank="false" errorStyle="stop" operator="between" prompt="Sélectionnez le mois à afficher" promptTitle="Sélecteur de mois" showDropDown="false" showErrorMessage="false" showInputMessage="false" sqref="D4" type="list">
      <formula1>"Janvier,Février,Mars,Avril,Mai,Juin,Juillet,Août,Septembre,Octobre,Novembre,Décembre"</formula1>
      <formula2>0</formula2>
    </dataValidation>
  </dataValidations>
  <hyperlinks>
    <hyperlink ref="T1" location="Accueil!A1" display="⌂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4C"/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6" t="s">
        <v>453</v>
      </c>
      <c r="B1" s="1"/>
      <c r="C1" s="1"/>
      <c r="D1" s="1"/>
      <c r="E1" s="1"/>
      <c r="F1" s="17" t="s">
        <v>46</v>
      </c>
    </row>
    <row r="2" customFormat="false" ht="15" hidden="false" customHeight="false" outlineLevel="0" collapsed="false">
      <c r="A2" s="18" t="s">
        <v>454</v>
      </c>
      <c r="B2" s="3"/>
      <c r="C2" s="3"/>
      <c r="D2" s="3"/>
      <c r="E2" s="3"/>
      <c r="F2" s="3"/>
    </row>
    <row r="4" customFormat="false" ht="15" hidden="false" customHeight="false" outlineLevel="0" collapsed="false">
      <c r="B4" s="92" t="s">
        <v>356</v>
      </c>
      <c r="C4" s="92" t="s">
        <v>455</v>
      </c>
      <c r="D4" s="92" t="s">
        <v>456</v>
      </c>
      <c r="E4" s="92" t="s">
        <v>457</v>
      </c>
    </row>
    <row r="5" customFormat="false" ht="15" hidden="false" customHeight="false" outlineLevel="0" collapsed="false">
      <c r="B5" s="23" t="s">
        <v>458</v>
      </c>
      <c r="C5" s="6"/>
      <c r="D5" s="6"/>
      <c r="E5" s="6"/>
    </row>
    <row r="6" customFormat="false" ht="30" hidden="false" customHeight="true" outlineLevel="0" collapsed="false">
      <c r="B6" s="93" t="s">
        <v>370</v>
      </c>
      <c r="C6" s="94" t="s">
        <v>459</v>
      </c>
      <c r="D6" s="94" t="s">
        <v>460</v>
      </c>
      <c r="E6" s="95" t="s">
        <v>461</v>
      </c>
    </row>
    <row r="7" customFormat="false" ht="45" hidden="false" customHeight="true" outlineLevel="0" collapsed="false">
      <c r="B7" s="93" t="s">
        <v>462</v>
      </c>
      <c r="C7" s="94" t="s">
        <v>463</v>
      </c>
      <c r="D7" s="94" t="s">
        <v>464</v>
      </c>
      <c r="E7" s="95" t="s">
        <v>465</v>
      </c>
    </row>
    <row r="8" customFormat="false" ht="60" hidden="false" customHeight="true" outlineLevel="0" collapsed="false">
      <c r="B8" s="93" t="s">
        <v>466</v>
      </c>
      <c r="C8" s="94" t="s">
        <v>467</v>
      </c>
      <c r="D8" s="94" t="s">
        <v>468</v>
      </c>
      <c r="E8" s="95" t="s">
        <v>469</v>
      </c>
    </row>
    <row r="9" customFormat="false" ht="15" hidden="false" customHeight="false" outlineLevel="0" collapsed="false">
      <c r="B9" s="23" t="s">
        <v>470</v>
      </c>
      <c r="C9" s="6"/>
      <c r="D9" s="6"/>
      <c r="E9" s="6"/>
    </row>
    <row r="10" customFormat="false" ht="30" hidden="false" customHeight="true" outlineLevel="0" collapsed="false">
      <c r="B10" s="93" t="s">
        <v>471</v>
      </c>
      <c r="C10" s="94" t="s">
        <v>472</v>
      </c>
      <c r="D10" s="94" t="s">
        <v>473</v>
      </c>
      <c r="E10" s="95" t="s">
        <v>474</v>
      </c>
    </row>
    <row r="11" customFormat="false" ht="30" hidden="false" customHeight="true" outlineLevel="0" collapsed="false">
      <c r="B11" s="93" t="s">
        <v>475</v>
      </c>
      <c r="C11" s="94" t="s">
        <v>476</v>
      </c>
      <c r="D11" s="94" t="s">
        <v>477</v>
      </c>
      <c r="E11" s="95" t="s">
        <v>377</v>
      </c>
    </row>
    <row r="12" customFormat="false" ht="30" hidden="false" customHeight="true" outlineLevel="0" collapsed="false">
      <c r="B12" s="93" t="s">
        <v>378</v>
      </c>
      <c r="C12" s="94" t="s">
        <v>478</v>
      </c>
      <c r="D12" s="94" t="s">
        <v>479</v>
      </c>
      <c r="E12" s="95" t="s">
        <v>379</v>
      </c>
    </row>
    <row r="13" customFormat="false" ht="30" hidden="false" customHeight="true" outlineLevel="0" collapsed="false">
      <c r="B13" s="93" t="s">
        <v>480</v>
      </c>
      <c r="C13" s="94" t="s">
        <v>481</v>
      </c>
      <c r="D13" s="94" t="s">
        <v>482</v>
      </c>
      <c r="E13" s="95" t="s">
        <v>483</v>
      </c>
    </row>
    <row r="14" customFormat="false" ht="30" hidden="false" customHeight="true" outlineLevel="0" collapsed="false">
      <c r="B14" s="93" t="s">
        <v>484</v>
      </c>
      <c r="C14" s="94" t="s">
        <v>485</v>
      </c>
      <c r="D14" s="94" t="s">
        <v>486</v>
      </c>
      <c r="E14" s="95" t="s">
        <v>385</v>
      </c>
    </row>
    <row r="15" customFormat="false" ht="30" hidden="false" customHeight="true" outlineLevel="0" collapsed="false">
      <c r="B15" s="93" t="s">
        <v>487</v>
      </c>
      <c r="C15" s="94" t="s">
        <v>488</v>
      </c>
      <c r="D15" s="94" t="s">
        <v>489</v>
      </c>
      <c r="E15" s="95" t="s">
        <v>490</v>
      </c>
    </row>
    <row r="16" customFormat="false" ht="15" hidden="false" customHeight="false" outlineLevel="0" collapsed="false">
      <c r="B16" s="23" t="s">
        <v>491</v>
      </c>
      <c r="C16" s="6"/>
      <c r="D16" s="6"/>
      <c r="E16" s="6"/>
    </row>
    <row r="17" customFormat="false" ht="30" hidden="false" customHeight="true" outlineLevel="0" collapsed="false">
      <c r="B17" s="93" t="s">
        <v>492</v>
      </c>
      <c r="C17" s="94" t="s">
        <v>493</v>
      </c>
      <c r="D17" s="94" t="s">
        <v>494</v>
      </c>
      <c r="E17" s="95" t="s">
        <v>396</v>
      </c>
    </row>
    <row r="18" customFormat="false" ht="30" hidden="false" customHeight="true" outlineLevel="0" collapsed="false">
      <c r="B18" s="93" t="s">
        <v>495</v>
      </c>
      <c r="C18" s="94" t="s">
        <v>496</v>
      </c>
      <c r="D18" s="94" t="s">
        <v>497</v>
      </c>
      <c r="E18" s="95" t="s">
        <v>498</v>
      </c>
    </row>
    <row r="19" customFormat="false" ht="45" hidden="false" customHeight="true" outlineLevel="0" collapsed="false">
      <c r="B19" s="93" t="s">
        <v>400</v>
      </c>
      <c r="C19" s="94" t="s">
        <v>499</v>
      </c>
      <c r="D19" s="94" t="s">
        <v>500</v>
      </c>
      <c r="E19" s="95" t="s">
        <v>501</v>
      </c>
    </row>
    <row r="20" customFormat="false" ht="15" hidden="false" customHeight="false" outlineLevel="0" collapsed="false">
      <c r="B20" s="23" t="s">
        <v>502</v>
      </c>
      <c r="C20" s="6"/>
      <c r="D20" s="6"/>
      <c r="E20" s="6"/>
    </row>
    <row r="21" customFormat="false" ht="30" hidden="false" customHeight="true" outlineLevel="0" collapsed="false">
      <c r="B21" s="93" t="s">
        <v>503</v>
      </c>
      <c r="C21" s="94" t="s">
        <v>504</v>
      </c>
      <c r="D21" s="94" t="s">
        <v>505</v>
      </c>
      <c r="E21" s="95" t="s">
        <v>406</v>
      </c>
    </row>
    <row r="22" customFormat="false" ht="30" hidden="false" customHeight="true" outlineLevel="0" collapsed="false">
      <c r="B22" s="93" t="s">
        <v>506</v>
      </c>
      <c r="C22" s="94" t="s">
        <v>507</v>
      </c>
      <c r="D22" s="94" t="s">
        <v>508</v>
      </c>
      <c r="E22" s="95" t="s">
        <v>509</v>
      </c>
    </row>
    <row r="23" customFormat="false" ht="30" hidden="false" customHeight="true" outlineLevel="0" collapsed="false">
      <c r="B23" s="93" t="s">
        <v>446</v>
      </c>
      <c r="C23" s="94" t="s">
        <v>510</v>
      </c>
      <c r="D23" s="94" t="s">
        <v>511</v>
      </c>
      <c r="E23" s="95" t="s">
        <v>512</v>
      </c>
    </row>
    <row r="24" customFormat="false" ht="30" hidden="false" customHeight="true" outlineLevel="0" collapsed="false">
      <c r="B24" s="93" t="s">
        <v>447</v>
      </c>
      <c r="C24" s="94" t="s">
        <v>513</v>
      </c>
      <c r="D24" s="94" t="s">
        <v>514</v>
      </c>
      <c r="E24" s="95" t="s">
        <v>515</v>
      </c>
    </row>
    <row r="25" customFormat="false" ht="30" hidden="false" customHeight="true" outlineLevel="0" collapsed="false">
      <c r="B25" s="93" t="s">
        <v>516</v>
      </c>
      <c r="C25" s="94" t="s">
        <v>517</v>
      </c>
      <c r="D25" s="94" t="s">
        <v>518</v>
      </c>
      <c r="E25" s="95" t="s">
        <v>519</v>
      </c>
    </row>
    <row r="26" customFormat="false" ht="30" hidden="false" customHeight="true" outlineLevel="0" collapsed="false">
      <c r="B26" s="93" t="s">
        <v>520</v>
      </c>
      <c r="C26" s="94" t="s">
        <v>521</v>
      </c>
      <c r="D26" s="94" t="s">
        <v>522</v>
      </c>
      <c r="E26" s="95" t="s">
        <v>523</v>
      </c>
    </row>
    <row r="28" customFormat="false" ht="15" hidden="false" customHeight="false" outlineLevel="0" collapsed="false">
      <c r="B28" s="43" t="s">
        <v>524</v>
      </c>
    </row>
    <row r="29" customFormat="false" ht="15" hidden="false" customHeight="false" outlineLevel="0" collapsed="false">
      <c r="B29" s="96" t="s">
        <v>424</v>
      </c>
      <c r="C29" s="96"/>
      <c r="D29" s="96"/>
    </row>
    <row r="30" customFormat="false" ht="15" hidden="false" customHeight="false" outlineLevel="0" collapsed="false">
      <c r="B30" s="97" t="s">
        <v>426</v>
      </c>
      <c r="C30" s="97"/>
      <c r="D30" s="97"/>
    </row>
    <row r="31" customFormat="false" ht="15" hidden="false" customHeight="false" outlineLevel="0" collapsed="false">
      <c r="B31" s="98" t="s">
        <v>427</v>
      </c>
      <c r="C31" s="98"/>
      <c r="D31" s="98"/>
    </row>
    <row r="32" customFormat="false" ht="15" hidden="false" customHeight="false" outlineLevel="0" collapsed="false">
      <c r="B32" s="99" t="s">
        <v>428</v>
      </c>
      <c r="C32" s="99"/>
      <c r="D32" s="99"/>
    </row>
    <row r="33" customFormat="false" ht="15" hidden="false" customHeight="false" outlineLevel="0" collapsed="false">
      <c r="B33" s="100" t="s">
        <v>429</v>
      </c>
      <c r="C33" s="100"/>
      <c r="D33" s="100"/>
    </row>
  </sheetData>
  <mergeCells count="5">
    <mergeCell ref="B29:D29"/>
    <mergeCell ref="B30:D30"/>
    <mergeCell ref="B31:D31"/>
    <mergeCell ref="B32:D32"/>
    <mergeCell ref="B33:D33"/>
  </mergeCells>
  <hyperlinks>
    <hyperlink ref="F1" location="Accueil!A1" display="⌂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2026-10-03T20:52:03Z</dcterms:created>
  <dc:creator>openpyxl</dc:creator>
  <dc:description/>
  <dc:language>en-US</dc:language>
  <cp:lastModifiedBy/>
  <dcterms:modified xsi:type="dcterms:W3CDTF">2026-10-03T20:52:05Z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